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2.xml" ContentType="application/vnd.openxmlformats-officedocument.drawing+xml"/>
  <Override PartName="/xl/ctrlProps/ctrlProp2.xml" ContentType="application/vnd.ms-excel.controlproperties+xml"/>
  <Override PartName="/xl/slicers/slicer1.xml" ContentType="application/vnd.ms-excel.slicer+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302" codeName="{E5D1E7B1-6628-F0F0-D09B-76B25B5F3CD3}"/>
  <workbookPr codeName="ThisWorkbook" hidePivotFieldList="1" defaultThemeVersion="202300"/>
  <mc:AlternateContent xmlns:mc="http://schemas.openxmlformats.org/markup-compatibility/2006">
    <mc:Choice Requires="x15">
      <x15ac:absPath xmlns:x15ac="http://schemas.microsoft.com/office/spreadsheetml/2010/11/ac" url="/Users/alfredquenum/Documents/My Tableau Repository/Workbooks/"/>
    </mc:Choice>
  </mc:AlternateContent>
  <xr:revisionPtr revIDLastSave="0" documentId="13_ncr:1_{BFC9C677-2E9D-5040-8E65-75F3F1B21F12}" xr6:coauthVersionLast="47" xr6:coauthVersionMax="47" xr10:uidLastSave="{00000000-0000-0000-0000-000000000000}"/>
  <bookViews>
    <workbookView xWindow="0" yWindow="660" windowWidth="30240" windowHeight="18980" activeTab="2" xr2:uid="{E3C11FF0-4FA2-1342-AC3C-C1051B789BF7}"/>
  </bookViews>
  <sheets>
    <sheet name="Raw_Data" sheetId="1" r:id="rId1"/>
    <sheet name="Clean_Data" sheetId="2" r:id="rId2"/>
    <sheet name="Dashboard" sheetId="5" r:id="rId3"/>
    <sheet name="Control_Panel" sheetId="4" r:id="rId4"/>
  </sheets>
  <definedNames>
    <definedName name="Slicer_Picker">#N/A</definedName>
    <definedName name="Slicer_Shift">#N/A</definedName>
    <definedName name="Slicer_Zone">#N/A</definedName>
  </definedNames>
  <calcPr calcId="181029"/>
  <pivotCaches>
    <pivotCache cacheId="37" r:id="rId5"/>
  </pivotCaches>
  <extLst>
    <ext xmlns:x14="http://schemas.microsoft.com/office/spreadsheetml/2009/9/main" uri="{BBE1A952-AA13-448e-AADC-164F8A28A991}">
      <x14:slicerCaches>
        <x14:slicerCache r:id="rId6"/>
        <x14:slicerCache r:id="rId7"/>
        <x14:slicerCache r:id="rId8"/>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2" i="5" l="1"/>
  <c r="H2" i="5"/>
  <c r="E2" i="5"/>
  <c r="B2" i="5"/>
  <c r="I4" i="2"/>
  <c r="I5" i="2"/>
  <c r="I6" i="2"/>
  <c r="I7" i="2"/>
  <c r="I8" i="2"/>
  <c r="I9" i="2"/>
  <c r="I10" i="2"/>
  <c r="I11" i="2"/>
  <c r="I12" i="2"/>
  <c r="I13" i="2"/>
  <c r="I14" i="2"/>
  <c r="I15" i="2"/>
  <c r="I16" i="2"/>
  <c r="I17" i="2"/>
  <c r="I18" i="2"/>
  <c r="I19" i="2"/>
  <c r="I20" i="2"/>
  <c r="I21" i="2"/>
  <c r="I22" i="2"/>
  <c r="I23" i="2"/>
  <c r="I24" i="2"/>
  <c r="I25" i="2"/>
  <c r="I26" i="2"/>
  <c r="I27" i="2"/>
  <c r="I28" i="2"/>
  <c r="I29" i="2"/>
  <c r="I30" i="2"/>
  <c r="I31" i="2"/>
  <c r="I32" i="2"/>
  <c r="I33" i="2"/>
  <c r="I34" i="2"/>
  <c r="I35" i="2"/>
  <c r="I36" i="2"/>
  <c r="I37" i="2"/>
  <c r="I38" i="2"/>
  <c r="I39" i="2"/>
  <c r="I40" i="2"/>
  <c r="I41" i="2"/>
  <c r="I42" i="2"/>
  <c r="I43" i="2"/>
  <c r="I44" i="2"/>
  <c r="I45" i="2"/>
  <c r="I46" i="2"/>
  <c r="I47" i="2"/>
  <c r="I48" i="2"/>
  <c r="I49" i="2"/>
  <c r="I50" i="2"/>
  <c r="I51" i="2"/>
  <c r="I52" i="2"/>
  <c r="H4" i="2"/>
  <c r="H5" i="2"/>
  <c r="H6" i="2"/>
  <c r="H7" i="2"/>
  <c r="H8" i="2"/>
  <c r="H9" i="2"/>
  <c r="H10" i="2"/>
  <c r="H11" i="2"/>
  <c r="H12" i="2"/>
  <c r="H13" i="2"/>
  <c r="H14" i="2"/>
  <c r="H15" i="2"/>
  <c r="H16" i="2"/>
  <c r="H17" i="2"/>
  <c r="H18" i="2"/>
  <c r="H19" i="2"/>
  <c r="H20" i="2"/>
  <c r="H21" i="2"/>
  <c r="H22" i="2"/>
  <c r="H23" i="2"/>
  <c r="H24" i="2"/>
  <c r="H25" i="2"/>
  <c r="H26" i="2"/>
  <c r="H27" i="2"/>
  <c r="H28" i="2"/>
  <c r="H29" i="2"/>
  <c r="H30" i="2"/>
  <c r="H31" i="2"/>
  <c r="H32" i="2"/>
  <c r="H33" i="2"/>
  <c r="H34" i="2"/>
  <c r="H35" i="2"/>
  <c r="H36" i="2"/>
  <c r="H37" i="2"/>
  <c r="H38" i="2"/>
  <c r="H39" i="2"/>
  <c r="H40" i="2"/>
  <c r="H41" i="2"/>
  <c r="H42" i="2"/>
  <c r="H43" i="2"/>
  <c r="H44" i="2"/>
  <c r="H45" i="2"/>
  <c r="H46" i="2"/>
  <c r="H47" i="2"/>
  <c r="H48" i="2"/>
  <c r="H49" i="2"/>
  <c r="H50" i="2"/>
  <c r="H51" i="2"/>
  <c r="H52" i="2"/>
  <c r="I3" i="2"/>
  <c r="H3" i="2"/>
</calcChain>
</file>

<file path=xl/sharedStrings.xml><?xml version="1.0" encoding="utf-8"?>
<sst xmlns="http://schemas.openxmlformats.org/spreadsheetml/2006/main" count="347" uniqueCount="37">
  <si>
    <t>Order_ID</t>
  </si>
  <si>
    <t>Zone</t>
  </si>
  <si>
    <t>Picker</t>
  </si>
  <si>
    <t>Items</t>
  </si>
  <si>
    <t>Time_Min</t>
  </si>
  <si>
    <t>Errors</t>
  </si>
  <si>
    <t>Shift</t>
  </si>
  <si>
    <t>A</t>
  </si>
  <si>
    <t>P12</t>
  </si>
  <si>
    <t>Day</t>
  </si>
  <si>
    <t>B</t>
  </si>
  <si>
    <t>P05</t>
  </si>
  <si>
    <t>Night</t>
  </si>
  <si>
    <t>C</t>
  </si>
  <si>
    <t>P08</t>
  </si>
  <si>
    <t>P01</t>
  </si>
  <si>
    <t>P03</t>
  </si>
  <si>
    <t>P11</t>
  </si>
  <si>
    <t>D</t>
  </si>
  <si>
    <t>P02</t>
  </si>
  <si>
    <t>P06</t>
  </si>
  <si>
    <t>P07</t>
  </si>
  <si>
    <t>P15</t>
  </si>
  <si>
    <t>P14</t>
  </si>
  <si>
    <t>P09</t>
  </si>
  <si>
    <t>P04</t>
  </si>
  <si>
    <t>Throughput</t>
  </si>
  <si>
    <t>Error_Rate</t>
  </si>
  <si>
    <t>Grand Total</t>
  </si>
  <si>
    <t>Avg Throughput</t>
  </si>
  <si>
    <t>Avg Error Rate</t>
  </si>
  <si>
    <t>Warehouse Throughput Dashboard</t>
  </si>
  <si>
    <t>Total Orders</t>
  </si>
  <si>
    <t>Avg Time per Order</t>
  </si>
  <si>
    <t>Avg Error_Rate</t>
  </si>
  <si>
    <t>Warehouse Control Panel</t>
  </si>
  <si>
    <t>Click the button below to refresh the dashboard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</si>
</sst>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font>
      <sz val="12"/>
      <color theme="1"/>
      <name val="Aptos Narrow"/>
      <family val="2"/>
      <scheme val="minor"/>
    </font>
    <font>
      <sz val="12"/>
      <color theme="1"/>
      <name val="Aptos Narrow"/>
      <family val="2"/>
      <scheme val="minor"/>
    </font>
    <font>
      <sz val="8"/>
      <name val="Aptos Narrow"/>
      <family val="2"/>
      <scheme val="minor"/>
    </font>
    <font>
      <sz val="12"/>
      <color rgb="FF0D0D0D"/>
      <name val="Menlo"/>
      <family val="2"/>
    </font>
    <font>
      <b/>
      <sz val="12"/>
      <color rgb="FF0D0D0D"/>
      <name val="Menlo"/>
      <family val="2"/>
    </font>
    <font>
      <sz val="12"/>
      <name val="Aptos Narrow"/>
    </font>
  </fonts>
  <fills count="2">
    <fill>
      <patternFill patternType="none"/>
    </fill>
    <fill>
      <patternFill patternType="gray125"/>
    </fill>
  </fills>
  <borders count="1">
    <border>
      <left/>
      <right/>
      <top/>
      <bottom/>
      <diagonal/>
    </border>
  </borders>
  <cellStyleXfs count="2">
    <xf numFmtId="0" fontId="0" fillId="0" borderId="0"/>
    <xf numFmtId="9" fontId="1" fillId="0" borderId="0" applyFont="0" applyFill="0" applyBorder="0" applyAlignment="0" applyProtection="0"/>
  </cellStyleXfs>
  <cellXfs count="9">
    <xf numFmtId="0" fontId="0" fillId="0" borderId="0" xfId="0"/>
    <xf numFmtId="9" fontId="0" fillId="0" borderId="0" xfId="1" applyFont="1"/>
    <xf numFmtId="2" fontId="0" fillId="0" borderId="0" xfId="0" applyNumberFormat="1"/>
    <xf numFmtId="0" fontId="0" fillId="0" borderId="0" xfId="0" pivotButton="1"/>
    <xf numFmtId="0" fontId="0" fillId="0" borderId="0" xfId="0" applyAlignment="1">
      <alignment horizontal="left"/>
    </xf>
    <xf numFmtId="9" fontId="0" fillId="0" borderId="0" xfId="0" applyNumberFormat="1"/>
    <xf numFmtId="0" fontId="3" fillId="0" borderId="0" xfId="0" applyFont="1"/>
    <xf numFmtId="10" fontId="0" fillId="0" borderId="0" xfId="0" applyNumberFormat="1"/>
    <xf numFmtId="0" fontId="4" fillId="0" borderId="0" xfId="0" applyFont="1"/>
  </cellXfs>
  <cellStyles count="2">
    <cellStyle name="Normal" xfId="0" builtinId="0"/>
    <cellStyle name="Percent" xfId="1" builtinId="5"/>
  </cellStyles>
  <dxfs count="1">
    <dxf>
      <numFmt numFmtId="2" formatCode="0.0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3.xml"/><Relationship Id="rId13" Type="http://schemas.microsoft.com/office/2006/relationships/vbaProject" Target="vbaProject.bin"/><Relationship Id="rId3" Type="http://schemas.openxmlformats.org/officeDocument/2006/relationships/worksheet" Target="worksheets/sheet3.xml"/><Relationship Id="rId7" Type="http://schemas.microsoft.com/office/2007/relationships/slicerCache" Target="slicerCaches/slicerCache2.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sharedStrings" Target="sharedStrings.xml"/><Relationship Id="rId5" Type="http://schemas.openxmlformats.org/officeDocument/2006/relationships/pivotCacheDefinition" Target="pivotCache/pivotCacheDefinition1.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[Tesla_Warehouse_Automation.xlsm]Dashboard!PivotTable4</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Average Error</a:t>
            </a:r>
            <a:r>
              <a:rPr lang="en-US" baseline="0"/>
              <a:t> </a:t>
            </a:r>
            <a:r>
              <a:rPr lang="en-US"/>
              <a:t>Rate by Shift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Dashboard!$B$10</c:f>
              <c:strCache>
                <c:ptCount val="1"/>
                <c:pt idx="0">
                  <c:v>Total</c:v>
                </c:pt>
              </c:strCache>
            </c:strRef>
          </c:tx>
          <c:spPr>
            <a:solidFill>
              <a:schemeClr val="accent1"/>
            </a:solidFill>
            <a:ln>
              <a:noFill/>
            </a:ln>
            <a:effectLst/>
          </c:spPr>
          <c:invertIfNegative val="0"/>
          <c:cat>
            <c:strRef>
              <c:f>Dashboard!$A$11:$A$13</c:f>
              <c:strCache>
                <c:ptCount val="2"/>
                <c:pt idx="0">
                  <c:v>Day</c:v>
                </c:pt>
                <c:pt idx="1">
                  <c:v>Night</c:v>
                </c:pt>
              </c:strCache>
            </c:strRef>
          </c:cat>
          <c:val>
            <c:numRef>
              <c:f>Dashboard!$B$11:$B$13</c:f>
              <c:numCache>
                <c:formatCode>0%</c:formatCode>
                <c:ptCount val="2"/>
                <c:pt idx="0">
                  <c:v>4.0901865019512082E-2</c:v>
                </c:pt>
                <c:pt idx="1">
                  <c:v>8.6956521739130436E-3</c:v>
                </c:pt>
              </c:numCache>
            </c:numRef>
          </c:val>
          <c:extLst>
            <c:ext xmlns:c16="http://schemas.microsoft.com/office/drawing/2014/chart" uri="{C3380CC4-5D6E-409C-BE32-E72D297353CC}">
              <c16:uniqueId val="{00000000-1B0D-7349-A9CF-023716651423}"/>
            </c:ext>
          </c:extLst>
        </c:ser>
        <c:dLbls>
          <c:showLegendKey val="0"/>
          <c:showVal val="0"/>
          <c:showCatName val="0"/>
          <c:showSerName val="0"/>
          <c:showPercent val="0"/>
          <c:showBubbleSize val="0"/>
        </c:dLbls>
        <c:gapWidth val="219"/>
        <c:overlap val="-27"/>
        <c:axId val="1614766848"/>
        <c:axId val="1614767296"/>
      </c:barChart>
      <c:catAx>
        <c:axId val="16147668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14767296"/>
        <c:crosses val="autoZero"/>
        <c:auto val="1"/>
        <c:lblAlgn val="ctr"/>
        <c:lblOffset val="100"/>
        <c:noMultiLvlLbl val="0"/>
      </c:catAx>
      <c:valAx>
        <c:axId val="1614767296"/>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1476684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[Tesla_Warehouse_Automation.xlsm]Dashboard!PivotTable3</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Average Throughput by Shift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Dashboard!$B$3</c:f>
              <c:strCache>
                <c:ptCount val="1"/>
                <c:pt idx="0">
                  <c:v>Total</c:v>
                </c:pt>
              </c:strCache>
            </c:strRef>
          </c:tx>
          <c:spPr>
            <a:solidFill>
              <a:schemeClr val="accent1"/>
            </a:solidFill>
            <a:ln>
              <a:noFill/>
            </a:ln>
            <a:effectLst/>
          </c:spPr>
          <c:invertIfNegative val="0"/>
          <c:cat>
            <c:strRef>
              <c:f>Dashboard!$A$4:$A$6</c:f>
              <c:strCache>
                <c:ptCount val="2"/>
                <c:pt idx="0">
                  <c:v>Day</c:v>
                </c:pt>
                <c:pt idx="1">
                  <c:v>Night</c:v>
                </c:pt>
              </c:strCache>
            </c:strRef>
          </c:cat>
          <c:val>
            <c:numRef>
              <c:f>Dashboard!$B$4:$B$6</c:f>
              <c:numCache>
                <c:formatCode>0.00</c:formatCode>
                <c:ptCount val="2"/>
                <c:pt idx="0">
                  <c:v>2.5555101277323495</c:v>
                </c:pt>
                <c:pt idx="1">
                  <c:v>1.9791925465838509</c:v>
                </c:pt>
              </c:numCache>
            </c:numRef>
          </c:val>
          <c:extLst>
            <c:ext xmlns:c16="http://schemas.microsoft.com/office/drawing/2014/chart" uri="{C3380CC4-5D6E-409C-BE32-E72D297353CC}">
              <c16:uniqueId val="{00000000-3441-6048-83FE-9E1B32357DFD}"/>
            </c:ext>
          </c:extLst>
        </c:ser>
        <c:dLbls>
          <c:showLegendKey val="0"/>
          <c:showVal val="0"/>
          <c:showCatName val="0"/>
          <c:showSerName val="0"/>
          <c:showPercent val="0"/>
          <c:showBubbleSize val="0"/>
        </c:dLbls>
        <c:gapWidth val="219"/>
        <c:overlap val="-27"/>
        <c:axId val="1625157440"/>
        <c:axId val="1625159232"/>
      </c:barChart>
      <c:catAx>
        <c:axId val="16251574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25159232"/>
        <c:crosses val="autoZero"/>
        <c:auto val="1"/>
        <c:lblAlgn val="ctr"/>
        <c:lblOffset val="100"/>
        <c:noMultiLvlLbl val="0"/>
      </c:catAx>
      <c:valAx>
        <c:axId val="16251592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2515744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r>
              <a:rPr lang="en-US" sz="1400" b="0" i="0" u="none" strike="noStrike" kern="1200" spc="0" baseline="0">
                <a:solidFill>
                  <a:sysClr val="windowText" lastClr="000000">
                    <a:lumMod val="65000"/>
                    <a:lumOff val="35000"/>
                  </a:sysClr>
                </a:solidFill>
              </a:rPr>
              <a:t>Average Throughput by Zone</a:t>
            </a:r>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v>Total</c:v>
          </c:tx>
          <c:spPr>
            <a:solidFill>
              <a:schemeClr val="accent1"/>
            </a:solidFill>
            <a:ln>
              <a:noFill/>
            </a:ln>
            <a:effectLst/>
          </c:spPr>
          <c:invertIfNegative val="0"/>
          <c:cat>
            <c:strLit>
              <c:ptCount val="4"/>
              <c:pt idx="0">
                <c:v>A</c:v>
              </c:pt>
              <c:pt idx="1">
                <c:v>B</c:v>
              </c:pt>
              <c:pt idx="2">
                <c:v>C</c:v>
              </c:pt>
              <c:pt idx="3">
                <c:v>D</c:v>
              </c:pt>
            </c:strLit>
          </c:cat>
          <c:val>
            <c:numLit>
              <c:formatCode>General</c:formatCode>
              <c:ptCount val="4"/>
              <c:pt idx="0">
                <c:v>2.0908289241622575</c:v>
              </c:pt>
              <c:pt idx="1">
                <c:v>2.121699134199134</c:v>
              </c:pt>
              <c:pt idx="2">
                <c:v>2.7733333333333334</c:v>
              </c:pt>
              <c:pt idx="3">
                <c:v>2.2681481481481485</c:v>
              </c:pt>
            </c:numLit>
          </c:val>
          <c:extLst>
            <c:ext xmlns:c16="http://schemas.microsoft.com/office/drawing/2014/chart" uri="{C3380CC4-5D6E-409C-BE32-E72D297353CC}">
              <c16:uniqueId val="{00000000-7910-9D44-891A-5A76192B530E}"/>
            </c:ext>
          </c:extLst>
        </c:ser>
        <c:dLbls>
          <c:showLegendKey val="0"/>
          <c:showVal val="0"/>
          <c:showCatName val="0"/>
          <c:showSerName val="0"/>
          <c:showPercent val="0"/>
          <c:showBubbleSize val="0"/>
        </c:dLbls>
        <c:gapWidth val="219"/>
        <c:overlap val="-27"/>
        <c:axId val="1631722048"/>
        <c:axId val="1633747840"/>
      </c:barChart>
      <c:catAx>
        <c:axId val="16317220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33747840"/>
        <c:crosses val="autoZero"/>
        <c:auto val="1"/>
        <c:lblAlgn val="ctr"/>
        <c:lblOffset val="100"/>
        <c:noMultiLvlLbl val="0"/>
      </c:catAx>
      <c:valAx>
        <c:axId val="163374784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3172204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r>
              <a:rPr lang="en-US" sz="1400" b="0" i="0" u="none" strike="noStrike" kern="1200" spc="0" baseline="0">
                <a:solidFill>
                  <a:sysClr val="windowText" lastClr="000000">
                    <a:lumMod val="65000"/>
                    <a:lumOff val="35000"/>
                  </a:sysClr>
                </a:solidFill>
              </a:rPr>
              <a:t>Average Error Rate by Zone</a:t>
            </a:r>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v>Total</c:v>
          </c:tx>
          <c:spPr>
            <a:solidFill>
              <a:schemeClr val="accent1"/>
            </a:solidFill>
            <a:ln>
              <a:noFill/>
            </a:ln>
            <a:effectLst/>
          </c:spPr>
          <c:invertIfNegative val="0"/>
          <c:cat>
            <c:strLit>
              <c:ptCount val="4"/>
              <c:pt idx="0">
                <c:v>A</c:v>
              </c:pt>
              <c:pt idx="1">
                <c:v>B</c:v>
              </c:pt>
              <c:pt idx="2">
                <c:v>C</c:v>
              </c:pt>
              <c:pt idx="3">
                <c:v>D</c:v>
              </c:pt>
            </c:strLit>
          </c:cat>
          <c:val>
            <c:numLit>
              <c:formatCode>General</c:formatCode>
              <c:ptCount val="4"/>
              <c:pt idx="0">
                <c:v>2.2222222222222223E-2</c:v>
              </c:pt>
              <c:pt idx="1">
                <c:v>3.1504726890756299E-2</c:v>
              </c:pt>
              <c:pt idx="2">
                <c:v>3.8598901098901094E-2</c:v>
              </c:pt>
              <c:pt idx="3">
                <c:v>1.4285714285714285E-2</c:v>
              </c:pt>
            </c:numLit>
          </c:val>
          <c:extLst>
            <c:ext xmlns:c16="http://schemas.microsoft.com/office/drawing/2014/chart" uri="{C3380CC4-5D6E-409C-BE32-E72D297353CC}">
              <c16:uniqueId val="{00000000-7D5F-4F47-A01C-3D7D28870053}"/>
            </c:ext>
          </c:extLst>
        </c:ser>
        <c:dLbls>
          <c:showLegendKey val="0"/>
          <c:showVal val="0"/>
          <c:showCatName val="0"/>
          <c:showSerName val="0"/>
          <c:showPercent val="0"/>
          <c:showBubbleSize val="0"/>
        </c:dLbls>
        <c:gapWidth val="219"/>
        <c:overlap val="-27"/>
        <c:axId val="1633768256"/>
        <c:axId val="1633993152"/>
      </c:barChart>
      <c:catAx>
        <c:axId val="16337682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33993152"/>
        <c:crosses val="autoZero"/>
        <c:auto val="1"/>
        <c:lblAlgn val="ctr"/>
        <c:lblOffset val="100"/>
        <c:noMultiLvlLbl val="0"/>
      </c:catAx>
      <c:valAx>
        <c:axId val="1633993152"/>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3376825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10</xdr:col>
      <xdr:colOff>196850</xdr:colOff>
      <xdr:row>3</xdr:row>
      <xdr:rowOff>12700</xdr:rowOff>
    </xdr:from>
    <xdr:to>
      <xdr:col>15</xdr:col>
      <xdr:colOff>31750</xdr:colOff>
      <xdr:row>18</xdr:row>
      <xdr:rowOff>114300</xdr:rowOff>
    </xdr:to>
    <xdr:graphicFrame macro="">
      <xdr:nvGraphicFramePr>
        <xdr:cNvPr id="4" name="Chart 3">
          <a:extLst>
            <a:ext uri="{FF2B5EF4-FFF2-40B4-BE49-F238E27FC236}">
              <a16:creationId xmlns:a16="http://schemas.microsoft.com/office/drawing/2014/main" id="{49D66FBF-1681-1AD9-5F0C-3413FB2ADF2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361950</xdr:colOff>
      <xdr:row>3</xdr:row>
      <xdr:rowOff>25400</xdr:rowOff>
    </xdr:from>
    <xdr:to>
      <xdr:col>10</xdr:col>
      <xdr:colOff>31750</xdr:colOff>
      <xdr:row>18</xdr:row>
      <xdr:rowOff>127000</xdr:rowOff>
    </xdr:to>
    <xdr:graphicFrame macro="">
      <xdr:nvGraphicFramePr>
        <xdr:cNvPr id="5" name="Chart 4">
          <a:extLst>
            <a:ext uri="{FF2B5EF4-FFF2-40B4-BE49-F238E27FC236}">
              <a16:creationId xmlns:a16="http://schemas.microsoft.com/office/drawing/2014/main" id="{FB6C1444-FB5F-9DBB-C643-046C0F73F42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393700</xdr:colOff>
      <xdr:row>20</xdr:row>
      <xdr:rowOff>12700</xdr:rowOff>
    </xdr:from>
    <xdr:to>
      <xdr:col>10</xdr:col>
      <xdr:colOff>63500</xdr:colOff>
      <xdr:row>35</xdr:row>
      <xdr:rowOff>114300</xdr:rowOff>
    </xdr:to>
    <xdr:graphicFrame macro="">
      <xdr:nvGraphicFramePr>
        <xdr:cNvPr id="6" name="Chart 5">
          <a:extLst>
            <a:ext uri="{FF2B5EF4-FFF2-40B4-BE49-F238E27FC236}">
              <a16:creationId xmlns:a16="http://schemas.microsoft.com/office/drawing/2014/main" id="{83AF08D2-B7ED-0C13-7067-72D18ED8E63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228600</xdr:colOff>
      <xdr:row>20</xdr:row>
      <xdr:rowOff>0</xdr:rowOff>
    </xdr:from>
    <xdr:to>
      <xdr:col>15</xdr:col>
      <xdr:colOff>88900</xdr:colOff>
      <xdr:row>35</xdr:row>
      <xdr:rowOff>101600</xdr:rowOff>
    </xdr:to>
    <xdr:graphicFrame macro="">
      <xdr:nvGraphicFramePr>
        <xdr:cNvPr id="7" name="Chart 6">
          <a:extLst>
            <a:ext uri="{FF2B5EF4-FFF2-40B4-BE49-F238E27FC236}">
              <a16:creationId xmlns:a16="http://schemas.microsoft.com/office/drawing/2014/main" id="{0F01E889-D1A0-8DAE-8EA9-453E1448490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xdr:from>
          <xdr:col>16</xdr:col>
          <xdr:colOff>190500</xdr:colOff>
          <xdr:row>1</xdr:row>
          <xdr:rowOff>139700</xdr:rowOff>
        </xdr:from>
        <xdr:to>
          <xdr:col>18</xdr:col>
          <xdr:colOff>63500</xdr:colOff>
          <xdr:row>3</xdr:row>
          <xdr:rowOff>114300</xdr:rowOff>
        </xdr:to>
        <xdr:sp macro="" textlink="">
          <xdr:nvSpPr>
            <xdr:cNvPr id="5121" name="Button 1" hidden="1">
              <a:extLst>
                <a:ext uri="{63B3BB69-23CF-44E3-9099-C40C66FF867C}">
                  <a14:compatExt spid="_x0000_s5121"/>
                </a:ext>
                <a:ext uri="{FF2B5EF4-FFF2-40B4-BE49-F238E27FC236}">
                  <a16:creationId xmlns:a16="http://schemas.microsoft.com/office/drawing/2014/main" id="{CE94FE74-3956-680F-B935-5A23C9A2A04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pitchFamily="2" charset="0"/>
                </a:rPr>
                <a:t>Back to Control Panel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1041400</xdr:colOff>
      <xdr:row>8</xdr:row>
      <xdr:rowOff>12700</xdr:rowOff>
    </xdr:from>
    <xdr:to>
      <xdr:col>0</xdr:col>
      <xdr:colOff>2870200</xdr:colOff>
      <xdr:row>20</xdr:row>
      <xdr:rowOff>193672</xdr:rowOff>
    </xdr:to>
    <mc:AlternateContent xmlns:mc="http://schemas.openxmlformats.org/markup-compatibility/2006">
      <mc:Choice xmlns:a14="http://schemas.microsoft.com/office/drawing/2010/main" Requires="a14">
        <xdr:graphicFrame macro="">
          <xdr:nvGraphicFramePr>
            <xdr:cNvPr id="2" name="Shift">
              <a:extLst>
                <a:ext uri="{FF2B5EF4-FFF2-40B4-BE49-F238E27FC236}">
                  <a16:creationId xmlns:a16="http://schemas.microsoft.com/office/drawing/2014/main" id="{A1059CBD-94CD-E541-B13A-54A994CF4725}"/>
                </a:ext>
              </a:extLst>
            </xdr:cNvPr>
            <xdr:cNvGraphicFramePr/>
          </xdr:nvGraphicFramePr>
          <xdr:xfrm>
            <a:off x="0" y="0"/>
            <a:ext cx="0" cy="0"/>
          </xdr:xfrm>
          <a:graphic>
            <a:graphicData uri="http://schemas.microsoft.com/office/drawing/2010/slicer">
              <sle:slicer xmlns:sle="http://schemas.microsoft.com/office/drawing/2010/slicer" name="Shift"/>
            </a:graphicData>
          </a:graphic>
        </xdr:graphicFrame>
      </mc:Choice>
      <mc:Fallback>
        <xdr:sp macro="" textlink="">
          <xdr:nvSpPr>
            <xdr:cNvPr id="0" name=""/>
            <xdr:cNvSpPr>
              <a:spLocks noTextEdit="1"/>
            </xdr:cNvSpPr>
          </xdr:nvSpPr>
          <xdr:spPr>
            <a:xfrm>
              <a:off x="1041400" y="1638300"/>
              <a:ext cx="1828800" cy="261937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520700</xdr:colOff>
      <xdr:row>8</xdr:row>
      <xdr:rowOff>12700</xdr:rowOff>
    </xdr:from>
    <xdr:to>
      <xdr:col>8</xdr:col>
      <xdr:colOff>698500</xdr:colOff>
      <xdr:row>20</xdr:row>
      <xdr:rowOff>193672</xdr:rowOff>
    </xdr:to>
    <mc:AlternateContent xmlns:mc="http://schemas.openxmlformats.org/markup-compatibility/2006">
      <mc:Choice xmlns:a14="http://schemas.microsoft.com/office/drawing/2010/main" Requires="a14">
        <xdr:graphicFrame macro="">
          <xdr:nvGraphicFramePr>
            <xdr:cNvPr id="3" name="Picker">
              <a:extLst>
                <a:ext uri="{FF2B5EF4-FFF2-40B4-BE49-F238E27FC236}">
                  <a16:creationId xmlns:a16="http://schemas.microsoft.com/office/drawing/2014/main" id="{AC1E8AC5-768C-C843-9A2F-96801CC46763}"/>
                </a:ext>
              </a:extLst>
            </xdr:cNvPr>
            <xdr:cNvGraphicFramePr/>
          </xdr:nvGraphicFramePr>
          <xdr:xfrm>
            <a:off x="0" y="0"/>
            <a:ext cx="0" cy="0"/>
          </xdr:xfrm>
          <a:graphic>
            <a:graphicData uri="http://schemas.microsoft.com/office/drawing/2010/slicer">
              <sle:slicer xmlns:sle="http://schemas.microsoft.com/office/drawing/2010/slicer" name="Picker"/>
            </a:graphicData>
          </a:graphic>
        </xdr:graphicFrame>
      </mc:Choice>
      <mc:Fallback>
        <xdr:sp macro="" textlink="">
          <xdr:nvSpPr>
            <xdr:cNvPr id="0" name=""/>
            <xdr:cNvSpPr>
              <a:spLocks noTextEdit="1"/>
            </xdr:cNvSpPr>
          </xdr:nvSpPr>
          <xdr:spPr>
            <a:xfrm>
              <a:off x="9017000" y="1638300"/>
              <a:ext cx="1828800" cy="261937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101600</xdr:colOff>
      <xdr:row>8</xdr:row>
      <xdr:rowOff>12700</xdr:rowOff>
    </xdr:from>
    <xdr:to>
      <xdr:col>4</xdr:col>
      <xdr:colOff>279400</xdr:colOff>
      <xdr:row>20</xdr:row>
      <xdr:rowOff>193672</xdr:rowOff>
    </xdr:to>
    <mc:AlternateContent xmlns:mc="http://schemas.openxmlformats.org/markup-compatibility/2006">
      <mc:Choice xmlns:a14="http://schemas.microsoft.com/office/drawing/2010/main" Requires="a14">
        <xdr:graphicFrame macro="">
          <xdr:nvGraphicFramePr>
            <xdr:cNvPr id="4" name="Zone">
              <a:extLst>
                <a:ext uri="{FF2B5EF4-FFF2-40B4-BE49-F238E27FC236}">
                  <a16:creationId xmlns:a16="http://schemas.microsoft.com/office/drawing/2014/main" id="{60DC00B7-53F4-9542-8E3E-B53F79BBF651}"/>
                </a:ext>
              </a:extLst>
            </xdr:cNvPr>
            <xdr:cNvGraphicFramePr/>
          </xdr:nvGraphicFramePr>
          <xdr:xfrm>
            <a:off x="0" y="0"/>
            <a:ext cx="0" cy="0"/>
          </xdr:xfrm>
          <a:graphic>
            <a:graphicData uri="http://schemas.microsoft.com/office/drawing/2010/slicer">
              <sle:slicer xmlns:sle="http://schemas.microsoft.com/office/drawing/2010/slicer" name="Zone"/>
            </a:graphicData>
          </a:graphic>
        </xdr:graphicFrame>
      </mc:Choice>
      <mc:Fallback>
        <xdr:sp macro="" textlink="">
          <xdr:nvSpPr>
            <xdr:cNvPr id="0" name=""/>
            <xdr:cNvSpPr>
              <a:spLocks noTextEdit="1"/>
            </xdr:cNvSpPr>
          </xdr:nvSpPr>
          <xdr:spPr>
            <a:xfrm>
              <a:off x="5295900" y="1638300"/>
              <a:ext cx="1828800" cy="261937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1</xdr:col>
          <xdr:colOff>292100</xdr:colOff>
          <xdr:row>27</xdr:row>
          <xdr:rowOff>101600</xdr:rowOff>
        </xdr:from>
        <xdr:to>
          <xdr:col>3</xdr:col>
          <xdr:colOff>165100</xdr:colOff>
          <xdr:row>29</xdr:row>
          <xdr:rowOff>76200</xdr:rowOff>
        </xdr:to>
        <xdr:sp macro="" textlink="">
          <xdr:nvSpPr>
            <xdr:cNvPr id="4101" name="Button 5" hidden="1">
              <a:extLst>
                <a:ext uri="{63B3BB69-23CF-44E3-9099-C40C66FF867C}">
                  <a14:compatExt spid="_x0000_s4101"/>
                </a:ext>
                <a:ext uri="{FF2B5EF4-FFF2-40B4-BE49-F238E27FC236}">
                  <a16:creationId xmlns:a16="http://schemas.microsoft.com/office/drawing/2014/main" id="{E87D0D02-DB5B-5CB7-8D78-E1EE767237F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Refresh Dashboard</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lfred Quenum" refreshedDate="46091.937946296297" createdVersion="8" refreshedVersion="8" minRefreshableVersion="3" recordCount="50" xr:uid="{CA895E2C-625D-EC42-BB78-DBBA5D3BABC0}">
  <cacheSource type="worksheet">
    <worksheetSource name="Table14"/>
  </cacheSource>
  <cacheFields count="9">
    <cacheField name="Order_ID" numFmtId="0">
      <sharedItems containsSemiMixedTypes="0" containsString="0" containsNumber="1" containsInteger="1" minValue="1001" maxValue="1050"/>
    </cacheField>
    <cacheField name="Zone" numFmtId="0">
      <sharedItems count="4">
        <s v="C"/>
        <s v="D"/>
        <s v="B"/>
        <s v="A"/>
      </sharedItems>
    </cacheField>
    <cacheField name="Picker" numFmtId="0">
      <sharedItems count="13">
        <s v="P11"/>
        <s v="P08"/>
        <s v="P02"/>
        <s v="P06"/>
        <s v="P07"/>
        <s v="P12"/>
        <s v="P15"/>
        <s v="P01"/>
        <s v="P14"/>
        <s v="P05"/>
        <s v="P03"/>
        <s v="P09"/>
        <s v="P04"/>
      </sharedItems>
    </cacheField>
    <cacheField name="Items" numFmtId="0">
      <sharedItems containsSemiMixedTypes="0" containsString="0" containsNumber="1" containsInteger="1" minValue="6" maxValue="25"/>
    </cacheField>
    <cacheField name="Time_Min" numFmtId="0">
      <sharedItems containsSemiMixedTypes="0" containsString="0" containsNumber="1" containsInteger="1" minValue="3" maxValue="12"/>
    </cacheField>
    <cacheField name="Errors" numFmtId="0">
      <sharedItems containsSemiMixedTypes="0" containsString="0" containsNumber="1" containsInteger="1" minValue="0" maxValue="2"/>
    </cacheField>
    <cacheField name="Shift" numFmtId="0">
      <sharedItems count="2">
        <s v="Day"/>
        <s v="Night"/>
      </sharedItems>
    </cacheField>
    <cacheField name="Throughput" numFmtId="2">
      <sharedItems containsSemiMixedTypes="0" containsString="0" containsNumber="1" minValue="0.5" maxValue="7.333333333333333"/>
    </cacheField>
    <cacheField name="Error_Rate" numFmtId="9">
      <sharedItems containsSemiMixedTypes="0" containsString="0" containsNumber="1" minValue="0" maxValue="0.2"/>
    </cacheField>
  </cacheFields>
  <extLst>
    <ext xmlns:x14="http://schemas.microsoft.com/office/spreadsheetml/2009/9/main" uri="{725AE2AE-9491-48be-B2B4-4EB974FC3084}">
      <x14:pivotCacheDefinition pivotCacheId="740824589"/>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
  <r>
    <n v="1001"/>
    <x v="0"/>
    <x v="0"/>
    <n v="16"/>
    <n v="3"/>
    <n v="0"/>
    <x v="0"/>
    <n v="5.333333333333333"/>
    <n v="0"/>
  </r>
  <r>
    <n v="1002"/>
    <x v="0"/>
    <x v="1"/>
    <n v="21"/>
    <n v="6"/>
    <n v="1"/>
    <x v="0"/>
    <n v="3.5"/>
    <n v="4.7619047619047616E-2"/>
  </r>
  <r>
    <n v="1003"/>
    <x v="1"/>
    <x v="2"/>
    <n v="13"/>
    <n v="5"/>
    <n v="0"/>
    <x v="0"/>
    <n v="2.6"/>
    <n v="0"/>
  </r>
  <r>
    <n v="1004"/>
    <x v="1"/>
    <x v="3"/>
    <n v="23"/>
    <n v="12"/>
    <n v="0"/>
    <x v="0"/>
    <n v="1.9166666666666667"/>
    <n v="0"/>
  </r>
  <r>
    <n v="1005"/>
    <x v="2"/>
    <x v="3"/>
    <n v="10"/>
    <n v="11"/>
    <n v="1"/>
    <x v="0"/>
    <n v="0.90909090909090906"/>
    <n v="0.1"/>
  </r>
  <r>
    <n v="1006"/>
    <x v="3"/>
    <x v="4"/>
    <n v="10"/>
    <n v="8"/>
    <n v="0"/>
    <x v="0"/>
    <n v="1.25"/>
    <n v="0"/>
  </r>
  <r>
    <n v="1007"/>
    <x v="3"/>
    <x v="5"/>
    <n v="6"/>
    <n v="12"/>
    <n v="0"/>
    <x v="1"/>
    <n v="0.5"/>
    <n v="0"/>
  </r>
  <r>
    <n v="1008"/>
    <x v="2"/>
    <x v="1"/>
    <n v="17"/>
    <n v="12"/>
    <n v="0"/>
    <x v="1"/>
    <n v="1.4166666666666667"/>
    <n v="0"/>
  </r>
  <r>
    <n v="1009"/>
    <x v="0"/>
    <x v="6"/>
    <n v="25"/>
    <n v="10"/>
    <n v="0"/>
    <x v="1"/>
    <n v="2.5"/>
    <n v="0"/>
  </r>
  <r>
    <n v="1010"/>
    <x v="1"/>
    <x v="7"/>
    <n v="7"/>
    <n v="6"/>
    <n v="0"/>
    <x v="1"/>
    <n v="1.1666666666666667"/>
    <n v="0"/>
  </r>
  <r>
    <n v="1011"/>
    <x v="2"/>
    <x v="2"/>
    <n v="6"/>
    <n v="3"/>
    <n v="0"/>
    <x v="0"/>
    <n v="2"/>
    <n v="0"/>
  </r>
  <r>
    <n v="1012"/>
    <x v="1"/>
    <x v="5"/>
    <n v="22"/>
    <n v="3"/>
    <n v="0"/>
    <x v="1"/>
    <n v="7.333333333333333"/>
    <n v="0"/>
  </r>
  <r>
    <n v="1013"/>
    <x v="1"/>
    <x v="3"/>
    <n v="7"/>
    <n v="7"/>
    <n v="0"/>
    <x v="1"/>
    <n v="1"/>
    <n v="0"/>
  </r>
  <r>
    <n v="1014"/>
    <x v="1"/>
    <x v="6"/>
    <n v="8"/>
    <n v="8"/>
    <n v="0"/>
    <x v="1"/>
    <n v="1"/>
    <n v="0"/>
  </r>
  <r>
    <n v="1015"/>
    <x v="1"/>
    <x v="6"/>
    <n v="23"/>
    <n v="12"/>
    <n v="0"/>
    <x v="1"/>
    <n v="1.9166666666666667"/>
    <n v="0"/>
  </r>
  <r>
    <n v="1016"/>
    <x v="0"/>
    <x v="8"/>
    <n v="12"/>
    <n v="5"/>
    <n v="0"/>
    <x v="0"/>
    <n v="2.4"/>
    <n v="0"/>
  </r>
  <r>
    <n v="1017"/>
    <x v="1"/>
    <x v="9"/>
    <n v="18"/>
    <n v="5"/>
    <n v="0"/>
    <x v="0"/>
    <n v="3.6"/>
    <n v="0"/>
  </r>
  <r>
    <n v="1018"/>
    <x v="0"/>
    <x v="0"/>
    <n v="11"/>
    <n v="6"/>
    <n v="0"/>
    <x v="0"/>
    <n v="1.8333333333333333"/>
    <n v="0"/>
  </r>
  <r>
    <n v="1019"/>
    <x v="2"/>
    <x v="4"/>
    <n v="17"/>
    <n v="7"/>
    <n v="2"/>
    <x v="0"/>
    <n v="2.4285714285714284"/>
    <n v="0.11764705882352941"/>
  </r>
  <r>
    <n v="1020"/>
    <x v="3"/>
    <x v="10"/>
    <n v="15"/>
    <n v="3"/>
    <n v="0"/>
    <x v="0"/>
    <n v="5"/>
    <n v="0"/>
  </r>
  <r>
    <n v="1021"/>
    <x v="2"/>
    <x v="11"/>
    <n v="22"/>
    <n v="7"/>
    <n v="0"/>
    <x v="1"/>
    <n v="3.1428571428571428"/>
    <n v="0"/>
  </r>
  <r>
    <n v="1022"/>
    <x v="1"/>
    <x v="0"/>
    <n v="7"/>
    <n v="7"/>
    <n v="0"/>
    <x v="1"/>
    <n v="1"/>
    <n v="0"/>
  </r>
  <r>
    <n v="1023"/>
    <x v="1"/>
    <x v="12"/>
    <n v="6"/>
    <n v="3"/>
    <n v="0"/>
    <x v="0"/>
    <n v="2"/>
    <n v="0"/>
  </r>
  <r>
    <n v="1024"/>
    <x v="1"/>
    <x v="0"/>
    <n v="16"/>
    <n v="12"/>
    <n v="0"/>
    <x v="0"/>
    <n v="1.3333333333333333"/>
    <n v="0"/>
  </r>
  <r>
    <n v="1025"/>
    <x v="3"/>
    <x v="4"/>
    <n v="20"/>
    <n v="9"/>
    <n v="0"/>
    <x v="0"/>
    <n v="2.2222222222222223"/>
    <n v="0"/>
  </r>
  <r>
    <n v="1026"/>
    <x v="3"/>
    <x v="11"/>
    <n v="6"/>
    <n v="3"/>
    <n v="0"/>
    <x v="1"/>
    <n v="2"/>
    <n v="0"/>
  </r>
  <r>
    <n v="1027"/>
    <x v="1"/>
    <x v="4"/>
    <n v="14"/>
    <n v="7"/>
    <n v="1"/>
    <x v="0"/>
    <n v="2"/>
    <n v="7.1428571428571425E-2"/>
  </r>
  <r>
    <n v="1028"/>
    <x v="2"/>
    <x v="10"/>
    <n v="18"/>
    <n v="6"/>
    <n v="0"/>
    <x v="1"/>
    <n v="3"/>
    <n v="0"/>
  </r>
  <r>
    <n v="1029"/>
    <x v="2"/>
    <x v="0"/>
    <n v="12"/>
    <n v="10"/>
    <n v="0"/>
    <x v="0"/>
    <n v="1.2"/>
    <n v="0"/>
  </r>
  <r>
    <n v="1030"/>
    <x v="0"/>
    <x v="12"/>
    <n v="20"/>
    <n v="8"/>
    <n v="0"/>
    <x v="1"/>
    <n v="2.5"/>
    <n v="0"/>
  </r>
  <r>
    <n v="1031"/>
    <x v="2"/>
    <x v="0"/>
    <n v="9"/>
    <n v="12"/>
    <n v="0"/>
    <x v="1"/>
    <n v="0.75"/>
    <n v="0"/>
  </r>
  <r>
    <n v="1032"/>
    <x v="2"/>
    <x v="9"/>
    <n v="25"/>
    <n v="6"/>
    <n v="1"/>
    <x v="0"/>
    <n v="4.166666666666667"/>
    <n v="0.04"/>
  </r>
  <r>
    <n v="1033"/>
    <x v="2"/>
    <x v="7"/>
    <n v="20"/>
    <n v="4"/>
    <n v="1"/>
    <x v="0"/>
    <n v="5"/>
    <n v="0.05"/>
  </r>
  <r>
    <n v="1034"/>
    <x v="3"/>
    <x v="1"/>
    <n v="21"/>
    <n v="12"/>
    <n v="0"/>
    <x v="0"/>
    <n v="1.75"/>
    <n v="0"/>
  </r>
  <r>
    <n v="1035"/>
    <x v="1"/>
    <x v="4"/>
    <n v="14"/>
    <n v="9"/>
    <n v="2"/>
    <x v="0"/>
    <n v="1.5555555555555556"/>
    <n v="0.14285714285714285"/>
  </r>
  <r>
    <n v="1036"/>
    <x v="0"/>
    <x v="8"/>
    <n v="24"/>
    <n v="9"/>
    <n v="1"/>
    <x v="0"/>
    <n v="2.6666666666666665"/>
    <n v="4.1666666666666664E-2"/>
  </r>
  <r>
    <n v="1037"/>
    <x v="2"/>
    <x v="2"/>
    <n v="21"/>
    <n v="10"/>
    <n v="0"/>
    <x v="1"/>
    <n v="2.1"/>
    <n v="0"/>
  </r>
  <r>
    <n v="1038"/>
    <x v="3"/>
    <x v="9"/>
    <n v="12"/>
    <n v="6"/>
    <n v="0"/>
    <x v="1"/>
    <n v="2"/>
    <n v="0"/>
  </r>
  <r>
    <n v="1039"/>
    <x v="3"/>
    <x v="8"/>
    <n v="8"/>
    <n v="3"/>
    <n v="0"/>
    <x v="0"/>
    <n v="2.6666666666666665"/>
    <n v="0"/>
  </r>
  <r>
    <n v="1040"/>
    <x v="1"/>
    <x v="5"/>
    <n v="24"/>
    <n v="10"/>
    <n v="0"/>
    <x v="1"/>
    <n v="2.4"/>
    <n v="0"/>
  </r>
  <r>
    <n v="1041"/>
    <x v="2"/>
    <x v="1"/>
    <n v="16"/>
    <n v="8"/>
    <n v="2"/>
    <x v="0"/>
    <n v="2"/>
    <n v="0.125"/>
  </r>
  <r>
    <n v="1042"/>
    <x v="1"/>
    <x v="8"/>
    <n v="16"/>
    <n v="5"/>
    <n v="0"/>
    <x v="1"/>
    <n v="3.2"/>
    <n v="0"/>
  </r>
  <r>
    <n v="1043"/>
    <x v="0"/>
    <x v="9"/>
    <n v="7"/>
    <n v="7"/>
    <n v="1"/>
    <x v="0"/>
    <n v="1"/>
    <n v="0.14285714285714285"/>
  </r>
  <r>
    <n v="1044"/>
    <x v="3"/>
    <x v="1"/>
    <n v="10"/>
    <n v="7"/>
    <n v="2"/>
    <x v="1"/>
    <n v="1.4285714285714286"/>
    <n v="0.2"/>
  </r>
  <r>
    <n v="1045"/>
    <x v="2"/>
    <x v="3"/>
    <n v="6"/>
    <n v="5"/>
    <n v="0"/>
    <x v="1"/>
    <n v="1.2"/>
    <n v="0"/>
  </r>
  <r>
    <n v="1046"/>
    <x v="0"/>
    <x v="5"/>
    <n v="13"/>
    <n v="3"/>
    <n v="2"/>
    <x v="0"/>
    <n v="4.333333333333333"/>
    <n v="0.15384615384615385"/>
  </r>
  <r>
    <n v="1047"/>
    <x v="0"/>
    <x v="0"/>
    <n v="10"/>
    <n v="6"/>
    <n v="0"/>
    <x v="1"/>
    <n v="1.6666666666666667"/>
    <n v="0"/>
  </r>
  <r>
    <n v="1048"/>
    <x v="2"/>
    <x v="1"/>
    <n v="6"/>
    <n v="4"/>
    <n v="0"/>
    <x v="1"/>
    <n v="1.5"/>
    <n v="0"/>
  </r>
  <r>
    <n v="1049"/>
    <x v="2"/>
    <x v="4"/>
    <n v="14"/>
    <n v="6"/>
    <n v="1"/>
    <x v="0"/>
    <n v="2.3333333333333335"/>
    <n v="7.1428571428571425E-2"/>
  </r>
  <r>
    <n v="1050"/>
    <x v="2"/>
    <x v="10"/>
    <n v="8"/>
    <n v="10"/>
    <n v="0"/>
    <x v="1"/>
    <n v="0.8"/>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DFFDBF06-5DF5-564C-8EBF-B59CE14A91CC}" name="PivotTable8" cacheId="3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rowHeaderCaption="Zone">
  <location ref="A27:B32" firstHeaderRow="1" firstDataRow="1" firstDataCol="1"/>
  <pivotFields count="9">
    <pivotField showAll="0"/>
    <pivotField axis="axisRow" showAll="0">
      <items count="5">
        <item x="3"/>
        <item x="2"/>
        <item x="0"/>
        <item x="1"/>
        <item t="default"/>
      </items>
    </pivotField>
    <pivotField showAll="0">
      <items count="14">
        <item x="7"/>
        <item x="2"/>
        <item x="10"/>
        <item x="12"/>
        <item x="9"/>
        <item x="3"/>
        <item x="4"/>
        <item x="1"/>
        <item x="11"/>
        <item x="0"/>
        <item x="5"/>
        <item x="8"/>
        <item x="6"/>
        <item t="default"/>
      </items>
    </pivotField>
    <pivotField showAll="0"/>
    <pivotField showAll="0"/>
    <pivotField showAll="0"/>
    <pivotField showAll="0">
      <items count="3">
        <item x="0"/>
        <item x="1"/>
        <item t="default"/>
      </items>
    </pivotField>
    <pivotField numFmtId="2" showAll="0"/>
    <pivotField dataField="1" numFmtId="9" showAll="0"/>
  </pivotFields>
  <rowFields count="1">
    <field x="1"/>
  </rowFields>
  <rowItems count="5">
    <i>
      <x/>
    </i>
    <i>
      <x v="1"/>
    </i>
    <i>
      <x v="2"/>
    </i>
    <i>
      <x v="3"/>
    </i>
    <i t="grand">
      <x/>
    </i>
  </rowItems>
  <colItems count="1">
    <i/>
  </colItems>
  <dataFields count="1">
    <dataField name="Avg Error_Rate" fld="8" subtotal="average" baseField="0" baseItem="0" numFmtId="9"/>
  </dataFields>
  <chartFormats count="1">
    <chartFormat chart="4"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21F9E773-08AB-3D4C-83BE-D06A1E49BF2D}" name="PivotTable7" cacheId="3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rowHeaderCaption="Zone">
  <location ref="A19:B24" firstHeaderRow="1" firstDataRow="1" firstDataCol="1"/>
  <pivotFields count="9">
    <pivotField showAll="0"/>
    <pivotField axis="axisRow" showAll="0">
      <items count="5">
        <item x="3"/>
        <item x="2"/>
        <item x="0"/>
        <item x="1"/>
        <item t="default"/>
      </items>
    </pivotField>
    <pivotField showAll="0">
      <items count="14">
        <item x="7"/>
        <item x="2"/>
        <item x="10"/>
        <item x="12"/>
        <item x="9"/>
        <item x="3"/>
        <item x="4"/>
        <item x="1"/>
        <item x="11"/>
        <item x="0"/>
        <item x="5"/>
        <item x="8"/>
        <item x="6"/>
        <item t="default"/>
      </items>
    </pivotField>
    <pivotField showAll="0"/>
    <pivotField showAll="0"/>
    <pivotField showAll="0"/>
    <pivotField showAll="0">
      <items count="3">
        <item x="0"/>
        <item x="1"/>
        <item t="default"/>
      </items>
    </pivotField>
    <pivotField dataField="1" numFmtId="2" showAll="0"/>
    <pivotField numFmtId="9" showAll="0"/>
  </pivotFields>
  <rowFields count="1">
    <field x="1"/>
  </rowFields>
  <rowItems count="5">
    <i>
      <x/>
    </i>
    <i>
      <x v="1"/>
    </i>
    <i>
      <x v="2"/>
    </i>
    <i>
      <x v="3"/>
    </i>
    <i t="grand">
      <x/>
    </i>
  </rowItems>
  <colItems count="1">
    <i/>
  </colItems>
  <dataFields count="1">
    <dataField name="Avg Throughput" fld="7" subtotal="average" baseField="0" baseItem="0" numFmtId="2"/>
  </dataFields>
  <chartFormats count="1">
    <chartFormat chart="4"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E1F9BF4F-A323-1B42-9E71-6CA65A677347}" name="PivotTable4" cacheId="3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rowHeaderCaption="Shift">
  <location ref="A10:B13" firstHeaderRow="1" firstDataRow="1" firstDataCol="1"/>
  <pivotFields count="9">
    <pivotField showAll="0"/>
    <pivotField showAll="0">
      <items count="5">
        <item x="3"/>
        <item x="2"/>
        <item x="0"/>
        <item x="1"/>
        <item t="default"/>
      </items>
    </pivotField>
    <pivotField showAll="0">
      <items count="14">
        <item x="7"/>
        <item x="2"/>
        <item x="10"/>
        <item x="12"/>
        <item x="9"/>
        <item x="3"/>
        <item x="4"/>
        <item x="1"/>
        <item x="11"/>
        <item x="0"/>
        <item x="5"/>
        <item x="8"/>
        <item x="6"/>
        <item t="default"/>
      </items>
    </pivotField>
    <pivotField showAll="0"/>
    <pivotField showAll="0"/>
    <pivotField showAll="0"/>
    <pivotField axis="axisRow" showAll="0">
      <items count="3">
        <item x="0"/>
        <item x="1"/>
        <item t="default"/>
      </items>
    </pivotField>
    <pivotField numFmtId="2" showAll="0"/>
    <pivotField dataField="1" numFmtId="9" showAll="0"/>
  </pivotFields>
  <rowFields count="1">
    <field x="6"/>
  </rowFields>
  <rowItems count="3">
    <i>
      <x/>
    </i>
    <i>
      <x v="1"/>
    </i>
    <i t="grand">
      <x/>
    </i>
  </rowItems>
  <colItems count="1">
    <i/>
  </colItems>
  <dataFields count="1">
    <dataField name="Avg Error Rate" fld="8" subtotal="average" baseField="0" baseItem="0" numFmtId="9"/>
  </dataFields>
  <chartFormats count="1">
    <chartFormat chart="3"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3BDA244F-6BC9-B84E-9B39-D93128F67837}" name="PivotTable3" cacheId="3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rowHeaderCaption="Shift">
  <location ref="A3:B6" firstHeaderRow="1" firstDataRow="1" firstDataCol="1"/>
  <pivotFields count="9">
    <pivotField showAll="0"/>
    <pivotField showAll="0">
      <items count="5">
        <item x="3"/>
        <item x="2"/>
        <item x="0"/>
        <item x="1"/>
        <item t="default"/>
      </items>
    </pivotField>
    <pivotField showAll="0">
      <items count="14">
        <item x="7"/>
        <item x="2"/>
        <item x="10"/>
        <item x="12"/>
        <item x="9"/>
        <item x="3"/>
        <item x="4"/>
        <item x="1"/>
        <item x="11"/>
        <item x="0"/>
        <item x="5"/>
        <item x="8"/>
        <item x="6"/>
        <item t="default"/>
      </items>
    </pivotField>
    <pivotField showAll="0"/>
    <pivotField showAll="0"/>
    <pivotField showAll="0"/>
    <pivotField axis="axisRow" showAll="0">
      <items count="3">
        <item x="0"/>
        <item x="1"/>
        <item t="default"/>
      </items>
    </pivotField>
    <pivotField dataField="1" numFmtId="2" showAll="0"/>
    <pivotField numFmtId="9" showAll="0"/>
  </pivotFields>
  <rowFields count="1">
    <field x="6"/>
  </rowFields>
  <rowItems count="3">
    <i>
      <x/>
    </i>
    <i>
      <x v="1"/>
    </i>
    <i t="grand">
      <x/>
    </i>
  </rowItems>
  <colItems count="1">
    <i/>
  </colItems>
  <dataFields count="1">
    <dataField name="Avg Throughput" fld="7" subtotal="average" baseField="0" baseItem="0" numFmtId="2"/>
  </dataFields>
  <chartFormats count="1">
    <chartFormat chart="3"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hift" xr10:uid="{3367E1A3-4E47-7C4C-AD62-2D78070CCBC8}" sourceName="Shift">
  <pivotTables>
    <pivotTable tabId="5" name="PivotTable3"/>
    <pivotTable tabId="5" name="PivotTable4"/>
    <pivotTable tabId="5" name="PivotTable7"/>
    <pivotTable tabId="5" name="PivotTable8"/>
  </pivotTables>
  <data>
    <tabular pivotCacheId="740824589">
      <items count="2">
        <i x="0" s="1"/>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icker" xr10:uid="{DE09CAAC-0650-0A4A-957A-A647BB7E35AF}" sourceName="Picker">
  <pivotTables>
    <pivotTable tabId="5" name="PivotTable3"/>
    <pivotTable tabId="5" name="PivotTable4"/>
    <pivotTable tabId="5" name="PivotTable7"/>
    <pivotTable tabId="5" name="PivotTable8"/>
  </pivotTables>
  <data>
    <tabular pivotCacheId="740824589">
      <items count="13">
        <i x="7" s="1"/>
        <i x="2" s="1"/>
        <i x="10" s="1"/>
        <i x="12" s="1"/>
        <i x="9" s="1"/>
        <i x="3" s="1"/>
        <i x="4" s="1"/>
        <i x="1" s="1"/>
        <i x="11" s="1"/>
        <i x="0" s="1"/>
        <i x="5" s="1"/>
        <i x="8" s="1"/>
        <i x="6"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Zone" xr10:uid="{05F83FF5-C770-0A4A-9518-93355BFF4ECE}" sourceName="Zone">
  <pivotTables>
    <pivotTable tabId="5" name="PivotTable3"/>
    <pivotTable tabId="5" name="PivotTable4"/>
    <pivotTable tabId="5" name="PivotTable7"/>
    <pivotTable tabId="5" name="PivotTable8"/>
  </pivotTables>
  <data>
    <tabular pivotCacheId="740824589">
      <items count="4">
        <i x="3" s="1"/>
        <i x="2" s="1"/>
        <i x="0" s="1"/>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hift" xr10:uid="{7F7137E1-32A8-2742-9D2E-72756E899494}" cache="Slicer_Shift" caption="Shift" rowHeight="251883"/>
  <slicer name="Picker" xr10:uid="{C6656F66-7F97-6247-A115-DEABA89C10C9}" cache="Slicer_Picker" caption="Picker" rowHeight="251883"/>
  <slicer name="Zone" xr10:uid="{79C8E6A4-6AD6-6E47-8D34-31463C778143}" cache="Slicer_Zone" caption="Zone" rowHeight="251883"/>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888F96D3-BEC5-9848-81F6-8874E03EC3FD}" name="Table1" displayName="Table1" ref="A2:G52" totalsRowShown="0">
  <autoFilter ref="A2:G52" xr:uid="{888F96D3-BEC5-9848-81F6-8874E03EC3FD}"/>
  <tableColumns count="7">
    <tableColumn id="1" xr3:uid="{43DA93E4-78EA-A246-911F-4A8406583A2F}" name="Order_ID"/>
    <tableColumn id="2" xr3:uid="{6F4F9F29-2DA2-E447-9708-60E0EC98FBEE}" name="Zone"/>
    <tableColumn id="3" xr3:uid="{2D2F3A7F-B7DD-8940-869A-54C3F4E4CDEC}" name="Picker"/>
    <tableColumn id="4" xr3:uid="{E362056E-4937-2041-930D-E2ED933589D6}" name="Items"/>
    <tableColumn id="5" xr3:uid="{DCF05F7E-8A27-BC44-832F-BBB4EBD75A91}" name="Time_Min"/>
    <tableColumn id="6" xr3:uid="{1911AF7C-B34F-7D41-AD87-F3754039AEA4}" name="Errors"/>
    <tableColumn id="7" xr3:uid="{F458FD3A-E7AE-7E4D-BE2C-5FFCD7D1B2D3}" name="Shift"/>
  </tableColumns>
  <tableStyleInfo name="TableStyleLight8"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2A99FDF-2CC7-F14D-84C4-2C6C31FD31CE}" name="Table14" displayName="Table14" ref="A2:I52" totalsRowShown="0">
  <autoFilter ref="A2:I52" xr:uid="{C2A99FDF-2CC7-F14D-84C4-2C6C31FD31CE}"/>
  <tableColumns count="9">
    <tableColumn id="1" xr3:uid="{DF4C3E63-9E13-1344-8196-60724E0EEA42}" name="Order_ID"/>
    <tableColumn id="2" xr3:uid="{7C5A01EE-D700-B24F-A947-E4534E70A27C}" name="Zone"/>
    <tableColumn id="3" xr3:uid="{B2DBBAAA-E3BB-DE49-B5AC-921A45BCFCC2}" name="Picker"/>
    <tableColumn id="4" xr3:uid="{C9B2754E-9ECF-B945-BF13-AB2DEE35B665}" name="Items"/>
    <tableColumn id="5" xr3:uid="{D362C08D-B3F6-1545-AFAC-B181CDF03657}" name="Time_Min"/>
    <tableColumn id="6" xr3:uid="{716F0BF1-C3FB-9842-9F4C-A1AF73FC4AAB}" name="Errors"/>
    <tableColumn id="7" xr3:uid="{CC71EC41-837C-CF47-B88B-9FF06DBAFA41}" name="Shift"/>
    <tableColumn id="8" xr3:uid="{8DDEAB09-B09A-9744-8494-7B8E245C2AAA}" name="Throughput" dataDxfId="0">
      <calculatedColumnFormula>IFERROR(D3/E3,0)</calculatedColumnFormula>
    </tableColumn>
    <tableColumn id="9" xr3:uid="{F1497232-7DE6-A747-AA3C-CEF2C0E7BA4E}" name="Error_Rate" dataCellStyle="Percent">
      <calculatedColumnFormula>IFERROR(F3/D3,0)</calculatedColumnFormula>
    </tableColumn>
  </tableColumns>
  <tableStyleInfo name="TableStyleLight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5" Type="http://schemas.openxmlformats.org/officeDocument/2006/relationships/drawing" Target="../drawings/drawing1.xml"/><Relationship Id="rId4" Type="http://schemas.openxmlformats.org/officeDocument/2006/relationships/pivotTable" Target="../pivotTables/pivotTable4.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 Id="rId4" Type="http://schemas.microsoft.com/office/2007/relationships/slicer" Target="../slicers/slicer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100623-14C5-CA4D-BFE8-F6B607187F3C}">
  <sheetPr codeName="Sheet1"/>
  <dimension ref="A2:G52"/>
  <sheetViews>
    <sheetView workbookViewId="0">
      <selection activeCell="J5" sqref="J5"/>
    </sheetView>
  </sheetViews>
  <sheetFormatPr baseColWidth="10" defaultColWidth="8.83203125" defaultRowHeight="16"/>
  <cols>
    <col min="1" max="1" width="10.83203125" customWidth="1"/>
    <col min="5" max="5" width="11.1640625" customWidth="1"/>
  </cols>
  <sheetData>
    <row r="2" spans="1:7">
      <c r="A2" t="s">
        <v>0</v>
      </c>
      <c r="B2" t="s">
        <v>1</v>
      </c>
      <c r="C2" t="s">
        <v>2</v>
      </c>
      <c r="D2" t="s">
        <v>3</v>
      </c>
      <c r="E2" t="s">
        <v>4</v>
      </c>
      <c r="F2" t="s">
        <v>5</v>
      </c>
      <c r="G2" t="s">
        <v>6</v>
      </c>
    </row>
    <row r="3" spans="1:7">
      <c r="A3">
        <v>1001</v>
      </c>
      <c r="B3" t="s">
        <v>13</v>
      </c>
      <c r="C3" t="s">
        <v>17</v>
      </c>
      <c r="D3">
        <v>16</v>
      </c>
      <c r="E3">
        <v>3</v>
      </c>
      <c r="F3">
        <v>0</v>
      </c>
      <c r="G3" t="s">
        <v>9</v>
      </c>
    </row>
    <row r="4" spans="1:7">
      <c r="A4">
        <v>1002</v>
      </c>
      <c r="B4" t="s">
        <v>13</v>
      </c>
      <c r="C4" t="s">
        <v>14</v>
      </c>
      <c r="D4">
        <v>21</v>
      </c>
      <c r="E4">
        <v>6</v>
      </c>
      <c r="F4">
        <v>1</v>
      </c>
      <c r="G4" t="s">
        <v>9</v>
      </c>
    </row>
    <row r="5" spans="1:7">
      <c r="A5">
        <v>1003</v>
      </c>
      <c r="B5" t="s">
        <v>18</v>
      </c>
      <c r="C5" t="s">
        <v>19</v>
      </c>
      <c r="D5">
        <v>13</v>
      </c>
      <c r="E5">
        <v>5</v>
      </c>
      <c r="F5">
        <v>0</v>
      </c>
      <c r="G5" t="s">
        <v>9</v>
      </c>
    </row>
    <row r="6" spans="1:7">
      <c r="A6">
        <v>1004</v>
      </c>
      <c r="B6" t="s">
        <v>18</v>
      </c>
      <c r="C6" t="s">
        <v>20</v>
      </c>
      <c r="D6">
        <v>23</v>
      </c>
      <c r="E6">
        <v>12</v>
      </c>
      <c r="F6">
        <v>0</v>
      </c>
      <c r="G6" t="s">
        <v>9</v>
      </c>
    </row>
    <row r="7" spans="1:7">
      <c r="A7">
        <v>1005</v>
      </c>
      <c r="B7" t="s">
        <v>10</v>
      </c>
      <c r="C7" t="s">
        <v>20</v>
      </c>
      <c r="D7">
        <v>10</v>
      </c>
      <c r="E7">
        <v>11</v>
      </c>
      <c r="F7">
        <v>1</v>
      </c>
      <c r="G7" t="s">
        <v>9</v>
      </c>
    </row>
    <row r="8" spans="1:7">
      <c r="A8">
        <v>1006</v>
      </c>
      <c r="B8" t="s">
        <v>7</v>
      </c>
      <c r="C8" t="s">
        <v>21</v>
      </c>
      <c r="D8">
        <v>10</v>
      </c>
      <c r="E8">
        <v>8</v>
      </c>
      <c r="F8">
        <v>0</v>
      </c>
      <c r="G8" t="s">
        <v>9</v>
      </c>
    </row>
    <row r="9" spans="1:7">
      <c r="A9">
        <v>1007</v>
      </c>
      <c r="B9" t="s">
        <v>7</v>
      </c>
      <c r="C9" t="s">
        <v>8</v>
      </c>
      <c r="D9">
        <v>6</v>
      </c>
      <c r="E9">
        <v>12</v>
      </c>
      <c r="F9">
        <v>0</v>
      </c>
      <c r="G9" t="s">
        <v>12</v>
      </c>
    </row>
    <row r="10" spans="1:7">
      <c r="A10">
        <v>1008</v>
      </c>
      <c r="B10" t="s">
        <v>10</v>
      </c>
      <c r="C10" t="s">
        <v>14</v>
      </c>
      <c r="D10">
        <v>17</v>
      </c>
      <c r="E10">
        <v>12</v>
      </c>
      <c r="F10">
        <v>0</v>
      </c>
      <c r="G10" t="s">
        <v>12</v>
      </c>
    </row>
    <row r="11" spans="1:7">
      <c r="A11">
        <v>1009</v>
      </c>
      <c r="B11" t="s">
        <v>13</v>
      </c>
      <c r="C11" t="s">
        <v>22</v>
      </c>
      <c r="D11">
        <v>25</v>
      </c>
      <c r="E11">
        <v>10</v>
      </c>
      <c r="F11">
        <v>0</v>
      </c>
      <c r="G11" t="s">
        <v>12</v>
      </c>
    </row>
    <row r="12" spans="1:7">
      <c r="A12">
        <v>1010</v>
      </c>
      <c r="B12" t="s">
        <v>18</v>
      </c>
      <c r="C12" t="s">
        <v>15</v>
      </c>
      <c r="D12">
        <v>7</v>
      </c>
      <c r="E12">
        <v>6</v>
      </c>
      <c r="F12">
        <v>0</v>
      </c>
      <c r="G12" t="s">
        <v>12</v>
      </c>
    </row>
    <row r="13" spans="1:7">
      <c r="A13">
        <v>1011</v>
      </c>
      <c r="B13" t="s">
        <v>10</v>
      </c>
      <c r="C13" t="s">
        <v>19</v>
      </c>
      <c r="D13">
        <v>6</v>
      </c>
      <c r="E13">
        <v>3</v>
      </c>
      <c r="F13">
        <v>0</v>
      </c>
      <c r="G13" t="s">
        <v>9</v>
      </c>
    </row>
    <row r="14" spans="1:7">
      <c r="A14">
        <v>1012</v>
      </c>
      <c r="B14" t="s">
        <v>18</v>
      </c>
      <c r="C14" t="s">
        <v>8</v>
      </c>
      <c r="D14">
        <v>22</v>
      </c>
      <c r="E14">
        <v>3</v>
      </c>
      <c r="F14">
        <v>0</v>
      </c>
      <c r="G14" t="s">
        <v>12</v>
      </c>
    </row>
    <row r="15" spans="1:7">
      <c r="A15">
        <v>1013</v>
      </c>
      <c r="B15" t="s">
        <v>18</v>
      </c>
      <c r="C15" t="s">
        <v>20</v>
      </c>
      <c r="D15">
        <v>7</v>
      </c>
      <c r="E15">
        <v>7</v>
      </c>
      <c r="F15">
        <v>0</v>
      </c>
      <c r="G15" t="s">
        <v>12</v>
      </c>
    </row>
    <row r="16" spans="1:7">
      <c r="A16">
        <v>1014</v>
      </c>
      <c r="B16" t="s">
        <v>18</v>
      </c>
      <c r="C16" t="s">
        <v>22</v>
      </c>
      <c r="D16">
        <v>8</v>
      </c>
      <c r="E16">
        <v>8</v>
      </c>
      <c r="F16">
        <v>0</v>
      </c>
      <c r="G16" t="s">
        <v>12</v>
      </c>
    </row>
    <row r="17" spans="1:7">
      <c r="A17">
        <v>1015</v>
      </c>
      <c r="B17" t="s">
        <v>18</v>
      </c>
      <c r="C17" t="s">
        <v>22</v>
      </c>
      <c r="D17">
        <v>23</v>
      </c>
      <c r="E17">
        <v>12</v>
      </c>
      <c r="F17">
        <v>0</v>
      </c>
      <c r="G17" t="s">
        <v>12</v>
      </c>
    </row>
    <row r="18" spans="1:7">
      <c r="A18">
        <v>1016</v>
      </c>
      <c r="B18" t="s">
        <v>13</v>
      </c>
      <c r="C18" t="s">
        <v>23</v>
      </c>
      <c r="D18">
        <v>12</v>
      </c>
      <c r="E18">
        <v>5</v>
      </c>
      <c r="F18">
        <v>0</v>
      </c>
      <c r="G18" t="s">
        <v>9</v>
      </c>
    </row>
    <row r="19" spans="1:7">
      <c r="A19">
        <v>1017</v>
      </c>
      <c r="B19" t="s">
        <v>18</v>
      </c>
      <c r="C19" t="s">
        <v>11</v>
      </c>
      <c r="D19">
        <v>18</v>
      </c>
      <c r="E19">
        <v>5</v>
      </c>
      <c r="F19">
        <v>0</v>
      </c>
      <c r="G19" t="s">
        <v>9</v>
      </c>
    </row>
    <row r="20" spans="1:7">
      <c r="A20">
        <v>1018</v>
      </c>
      <c r="B20" t="s">
        <v>13</v>
      </c>
      <c r="C20" t="s">
        <v>17</v>
      </c>
      <c r="D20">
        <v>11</v>
      </c>
      <c r="E20">
        <v>6</v>
      </c>
      <c r="F20">
        <v>0</v>
      </c>
      <c r="G20" t="s">
        <v>9</v>
      </c>
    </row>
    <row r="21" spans="1:7">
      <c r="A21">
        <v>1019</v>
      </c>
      <c r="B21" t="s">
        <v>10</v>
      </c>
      <c r="C21" t="s">
        <v>21</v>
      </c>
      <c r="D21">
        <v>17</v>
      </c>
      <c r="E21">
        <v>7</v>
      </c>
      <c r="F21">
        <v>2</v>
      </c>
      <c r="G21" t="s">
        <v>9</v>
      </c>
    </row>
    <row r="22" spans="1:7">
      <c r="A22">
        <v>1020</v>
      </c>
      <c r="B22" t="s">
        <v>7</v>
      </c>
      <c r="C22" t="s">
        <v>16</v>
      </c>
      <c r="D22">
        <v>15</v>
      </c>
      <c r="E22">
        <v>3</v>
      </c>
      <c r="F22">
        <v>0</v>
      </c>
      <c r="G22" t="s">
        <v>9</v>
      </c>
    </row>
    <row r="23" spans="1:7">
      <c r="A23">
        <v>1021</v>
      </c>
      <c r="B23" t="s">
        <v>10</v>
      </c>
      <c r="C23" t="s">
        <v>24</v>
      </c>
      <c r="D23">
        <v>22</v>
      </c>
      <c r="E23">
        <v>7</v>
      </c>
      <c r="F23">
        <v>0</v>
      </c>
      <c r="G23" t="s">
        <v>12</v>
      </c>
    </row>
    <row r="24" spans="1:7">
      <c r="A24">
        <v>1022</v>
      </c>
      <c r="B24" t="s">
        <v>18</v>
      </c>
      <c r="C24" t="s">
        <v>17</v>
      </c>
      <c r="D24">
        <v>7</v>
      </c>
      <c r="E24">
        <v>7</v>
      </c>
      <c r="F24">
        <v>0</v>
      </c>
      <c r="G24" t="s">
        <v>12</v>
      </c>
    </row>
    <row r="25" spans="1:7">
      <c r="A25">
        <v>1023</v>
      </c>
      <c r="B25" t="s">
        <v>18</v>
      </c>
      <c r="C25" t="s">
        <v>25</v>
      </c>
      <c r="D25">
        <v>6</v>
      </c>
      <c r="E25">
        <v>3</v>
      </c>
      <c r="F25">
        <v>0</v>
      </c>
      <c r="G25" t="s">
        <v>9</v>
      </c>
    </row>
    <row r="26" spans="1:7">
      <c r="A26">
        <v>1024</v>
      </c>
      <c r="B26" t="s">
        <v>18</v>
      </c>
      <c r="C26" t="s">
        <v>17</v>
      </c>
      <c r="D26">
        <v>16</v>
      </c>
      <c r="E26">
        <v>12</v>
      </c>
      <c r="F26">
        <v>0</v>
      </c>
      <c r="G26" t="s">
        <v>9</v>
      </c>
    </row>
    <row r="27" spans="1:7">
      <c r="A27">
        <v>1025</v>
      </c>
      <c r="B27" t="s">
        <v>7</v>
      </c>
      <c r="C27" t="s">
        <v>21</v>
      </c>
      <c r="D27">
        <v>20</v>
      </c>
      <c r="E27">
        <v>9</v>
      </c>
      <c r="F27">
        <v>0</v>
      </c>
      <c r="G27" t="s">
        <v>9</v>
      </c>
    </row>
    <row r="28" spans="1:7">
      <c r="A28">
        <v>1026</v>
      </c>
      <c r="B28" t="s">
        <v>7</v>
      </c>
      <c r="C28" t="s">
        <v>24</v>
      </c>
      <c r="D28">
        <v>6</v>
      </c>
      <c r="E28">
        <v>3</v>
      </c>
      <c r="F28">
        <v>0</v>
      </c>
      <c r="G28" t="s">
        <v>12</v>
      </c>
    </row>
    <row r="29" spans="1:7">
      <c r="A29">
        <v>1027</v>
      </c>
      <c r="B29" t="s">
        <v>18</v>
      </c>
      <c r="C29" t="s">
        <v>21</v>
      </c>
      <c r="D29">
        <v>14</v>
      </c>
      <c r="E29">
        <v>7</v>
      </c>
      <c r="F29">
        <v>1</v>
      </c>
      <c r="G29" t="s">
        <v>9</v>
      </c>
    </row>
    <row r="30" spans="1:7">
      <c r="A30">
        <v>1028</v>
      </c>
      <c r="B30" t="s">
        <v>10</v>
      </c>
      <c r="C30" t="s">
        <v>16</v>
      </c>
      <c r="D30">
        <v>18</v>
      </c>
      <c r="E30">
        <v>6</v>
      </c>
      <c r="F30">
        <v>0</v>
      </c>
      <c r="G30" t="s">
        <v>12</v>
      </c>
    </row>
    <row r="31" spans="1:7">
      <c r="A31">
        <v>1029</v>
      </c>
      <c r="B31" t="s">
        <v>10</v>
      </c>
      <c r="C31" t="s">
        <v>17</v>
      </c>
      <c r="D31">
        <v>12</v>
      </c>
      <c r="E31">
        <v>10</v>
      </c>
      <c r="F31">
        <v>0</v>
      </c>
      <c r="G31" t="s">
        <v>9</v>
      </c>
    </row>
    <row r="32" spans="1:7">
      <c r="A32">
        <v>1030</v>
      </c>
      <c r="B32" t="s">
        <v>13</v>
      </c>
      <c r="C32" t="s">
        <v>25</v>
      </c>
      <c r="D32">
        <v>20</v>
      </c>
      <c r="E32">
        <v>8</v>
      </c>
      <c r="F32">
        <v>0</v>
      </c>
      <c r="G32" t="s">
        <v>12</v>
      </c>
    </row>
    <row r="33" spans="1:7">
      <c r="A33">
        <v>1031</v>
      </c>
      <c r="B33" t="s">
        <v>10</v>
      </c>
      <c r="C33" t="s">
        <v>17</v>
      </c>
      <c r="D33">
        <v>9</v>
      </c>
      <c r="E33">
        <v>12</v>
      </c>
      <c r="F33">
        <v>0</v>
      </c>
      <c r="G33" t="s">
        <v>12</v>
      </c>
    </row>
    <row r="34" spans="1:7">
      <c r="A34">
        <v>1032</v>
      </c>
      <c r="B34" t="s">
        <v>10</v>
      </c>
      <c r="C34" t="s">
        <v>11</v>
      </c>
      <c r="D34">
        <v>25</v>
      </c>
      <c r="E34">
        <v>6</v>
      </c>
      <c r="F34">
        <v>1</v>
      </c>
      <c r="G34" t="s">
        <v>9</v>
      </c>
    </row>
    <row r="35" spans="1:7">
      <c r="A35">
        <v>1033</v>
      </c>
      <c r="B35" t="s">
        <v>10</v>
      </c>
      <c r="C35" t="s">
        <v>15</v>
      </c>
      <c r="D35">
        <v>20</v>
      </c>
      <c r="E35">
        <v>4</v>
      </c>
      <c r="F35">
        <v>1</v>
      </c>
      <c r="G35" t="s">
        <v>9</v>
      </c>
    </row>
    <row r="36" spans="1:7">
      <c r="A36">
        <v>1034</v>
      </c>
      <c r="B36" t="s">
        <v>7</v>
      </c>
      <c r="C36" t="s">
        <v>14</v>
      </c>
      <c r="D36">
        <v>21</v>
      </c>
      <c r="E36">
        <v>12</v>
      </c>
      <c r="F36">
        <v>0</v>
      </c>
      <c r="G36" t="s">
        <v>9</v>
      </c>
    </row>
    <row r="37" spans="1:7">
      <c r="A37">
        <v>1035</v>
      </c>
      <c r="B37" t="s">
        <v>18</v>
      </c>
      <c r="C37" t="s">
        <v>21</v>
      </c>
      <c r="D37">
        <v>14</v>
      </c>
      <c r="E37">
        <v>9</v>
      </c>
      <c r="F37">
        <v>2</v>
      </c>
      <c r="G37" t="s">
        <v>9</v>
      </c>
    </row>
    <row r="38" spans="1:7">
      <c r="A38">
        <v>1036</v>
      </c>
      <c r="B38" t="s">
        <v>13</v>
      </c>
      <c r="C38" t="s">
        <v>23</v>
      </c>
      <c r="D38">
        <v>24</v>
      </c>
      <c r="E38">
        <v>9</v>
      </c>
      <c r="F38">
        <v>1</v>
      </c>
      <c r="G38" t="s">
        <v>9</v>
      </c>
    </row>
    <row r="39" spans="1:7">
      <c r="A39">
        <v>1037</v>
      </c>
      <c r="B39" t="s">
        <v>10</v>
      </c>
      <c r="C39" t="s">
        <v>19</v>
      </c>
      <c r="D39">
        <v>21</v>
      </c>
      <c r="E39">
        <v>10</v>
      </c>
      <c r="F39">
        <v>0</v>
      </c>
      <c r="G39" t="s">
        <v>12</v>
      </c>
    </row>
    <row r="40" spans="1:7">
      <c r="A40">
        <v>1038</v>
      </c>
      <c r="B40" t="s">
        <v>7</v>
      </c>
      <c r="C40" t="s">
        <v>11</v>
      </c>
      <c r="D40">
        <v>12</v>
      </c>
      <c r="E40">
        <v>6</v>
      </c>
      <c r="F40">
        <v>0</v>
      </c>
      <c r="G40" t="s">
        <v>12</v>
      </c>
    </row>
    <row r="41" spans="1:7">
      <c r="A41">
        <v>1039</v>
      </c>
      <c r="B41" t="s">
        <v>7</v>
      </c>
      <c r="C41" t="s">
        <v>23</v>
      </c>
      <c r="D41">
        <v>8</v>
      </c>
      <c r="E41">
        <v>3</v>
      </c>
      <c r="F41">
        <v>0</v>
      </c>
      <c r="G41" t="s">
        <v>9</v>
      </c>
    </row>
    <row r="42" spans="1:7">
      <c r="A42">
        <v>1040</v>
      </c>
      <c r="B42" t="s">
        <v>18</v>
      </c>
      <c r="C42" t="s">
        <v>8</v>
      </c>
      <c r="D42">
        <v>24</v>
      </c>
      <c r="E42">
        <v>10</v>
      </c>
      <c r="F42">
        <v>0</v>
      </c>
      <c r="G42" t="s">
        <v>12</v>
      </c>
    </row>
    <row r="43" spans="1:7">
      <c r="A43">
        <v>1041</v>
      </c>
      <c r="B43" t="s">
        <v>10</v>
      </c>
      <c r="C43" t="s">
        <v>14</v>
      </c>
      <c r="D43">
        <v>16</v>
      </c>
      <c r="E43">
        <v>8</v>
      </c>
      <c r="F43">
        <v>2</v>
      </c>
      <c r="G43" t="s">
        <v>9</v>
      </c>
    </row>
    <row r="44" spans="1:7">
      <c r="A44">
        <v>1042</v>
      </c>
      <c r="B44" t="s">
        <v>18</v>
      </c>
      <c r="C44" t="s">
        <v>23</v>
      </c>
      <c r="D44">
        <v>16</v>
      </c>
      <c r="E44">
        <v>5</v>
      </c>
      <c r="F44">
        <v>0</v>
      </c>
      <c r="G44" t="s">
        <v>12</v>
      </c>
    </row>
    <row r="45" spans="1:7">
      <c r="A45">
        <v>1043</v>
      </c>
      <c r="B45" t="s">
        <v>13</v>
      </c>
      <c r="C45" t="s">
        <v>11</v>
      </c>
      <c r="D45">
        <v>7</v>
      </c>
      <c r="E45">
        <v>7</v>
      </c>
      <c r="F45">
        <v>1</v>
      </c>
      <c r="G45" t="s">
        <v>9</v>
      </c>
    </row>
    <row r="46" spans="1:7">
      <c r="A46">
        <v>1044</v>
      </c>
      <c r="B46" t="s">
        <v>7</v>
      </c>
      <c r="C46" t="s">
        <v>14</v>
      </c>
      <c r="D46">
        <v>10</v>
      </c>
      <c r="E46">
        <v>7</v>
      </c>
      <c r="F46">
        <v>2</v>
      </c>
      <c r="G46" t="s">
        <v>12</v>
      </c>
    </row>
    <row r="47" spans="1:7">
      <c r="A47">
        <v>1045</v>
      </c>
      <c r="B47" t="s">
        <v>10</v>
      </c>
      <c r="C47" t="s">
        <v>20</v>
      </c>
      <c r="D47">
        <v>6</v>
      </c>
      <c r="E47">
        <v>5</v>
      </c>
      <c r="F47">
        <v>0</v>
      </c>
      <c r="G47" t="s">
        <v>12</v>
      </c>
    </row>
    <row r="48" spans="1:7">
      <c r="A48">
        <v>1046</v>
      </c>
      <c r="B48" t="s">
        <v>13</v>
      </c>
      <c r="C48" t="s">
        <v>8</v>
      </c>
      <c r="D48">
        <v>13</v>
      </c>
      <c r="E48">
        <v>3</v>
      </c>
      <c r="F48">
        <v>2</v>
      </c>
      <c r="G48" t="s">
        <v>9</v>
      </c>
    </row>
    <row r="49" spans="1:7">
      <c r="A49">
        <v>1047</v>
      </c>
      <c r="B49" t="s">
        <v>13</v>
      </c>
      <c r="C49" t="s">
        <v>17</v>
      </c>
      <c r="D49">
        <v>10</v>
      </c>
      <c r="E49">
        <v>6</v>
      </c>
      <c r="F49">
        <v>0</v>
      </c>
      <c r="G49" t="s">
        <v>12</v>
      </c>
    </row>
    <row r="50" spans="1:7">
      <c r="A50">
        <v>1048</v>
      </c>
      <c r="B50" t="s">
        <v>10</v>
      </c>
      <c r="C50" t="s">
        <v>14</v>
      </c>
      <c r="D50">
        <v>6</v>
      </c>
      <c r="E50">
        <v>4</v>
      </c>
      <c r="F50">
        <v>0</v>
      </c>
      <c r="G50" t="s">
        <v>12</v>
      </c>
    </row>
    <row r="51" spans="1:7">
      <c r="A51">
        <v>1049</v>
      </c>
      <c r="B51" t="s">
        <v>10</v>
      </c>
      <c r="C51" t="s">
        <v>21</v>
      </c>
      <c r="D51">
        <v>14</v>
      </c>
      <c r="E51">
        <v>6</v>
      </c>
      <c r="F51">
        <v>1</v>
      </c>
      <c r="G51" t="s">
        <v>9</v>
      </c>
    </row>
    <row r="52" spans="1:7">
      <c r="A52">
        <v>1050</v>
      </c>
      <c r="B52" t="s">
        <v>10</v>
      </c>
      <c r="C52" t="s">
        <v>16</v>
      </c>
      <c r="D52">
        <v>8</v>
      </c>
      <c r="E52">
        <v>10</v>
      </c>
      <c r="F52">
        <v>0</v>
      </c>
      <c r="G52" t="s">
        <v>12</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A7CA2C-A126-C644-B818-C4FBA2914F15}">
  <sheetPr codeName="Sheet2"/>
  <dimension ref="A2:I52"/>
  <sheetViews>
    <sheetView workbookViewId="0">
      <selection activeCell="A3" sqref="A3"/>
    </sheetView>
  </sheetViews>
  <sheetFormatPr baseColWidth="10" defaultRowHeight="16"/>
  <cols>
    <col min="5" max="5" width="11.5" bestFit="1" customWidth="1"/>
    <col min="8" max="8" width="12.83203125" style="2" bestFit="1" customWidth="1"/>
    <col min="9" max="9" width="12.33203125" style="1" bestFit="1" customWidth="1"/>
  </cols>
  <sheetData>
    <row r="2" spans="1:9">
      <c r="A2" t="s">
        <v>0</v>
      </c>
      <c r="B2" t="s">
        <v>1</v>
      </c>
      <c r="C2" t="s">
        <v>2</v>
      </c>
      <c r="D2" t="s">
        <v>3</v>
      </c>
      <c r="E2" t="s">
        <v>4</v>
      </c>
      <c r="F2" t="s">
        <v>5</v>
      </c>
      <c r="G2" t="s">
        <v>6</v>
      </c>
      <c r="H2" s="2" t="s">
        <v>26</v>
      </c>
      <c r="I2" s="1" t="s">
        <v>27</v>
      </c>
    </row>
    <row r="3" spans="1:9">
      <c r="A3">
        <v>1001</v>
      </c>
      <c r="B3" t="s">
        <v>13</v>
      </c>
      <c r="C3" t="s">
        <v>17</v>
      </c>
      <c r="D3">
        <v>16</v>
      </c>
      <c r="E3">
        <v>3</v>
      </c>
      <c r="F3">
        <v>0</v>
      </c>
      <c r="G3" t="s">
        <v>9</v>
      </c>
      <c r="H3" s="2">
        <f>IFERROR(D3/E3,0)</f>
        <v>5.333333333333333</v>
      </c>
      <c r="I3" s="1">
        <f>IFERROR(F3/D3,0)</f>
        <v>0</v>
      </c>
    </row>
    <row r="4" spans="1:9">
      <c r="A4">
        <v>1002</v>
      </c>
      <c r="B4" t="s">
        <v>13</v>
      </c>
      <c r="C4" t="s">
        <v>14</v>
      </c>
      <c r="D4">
        <v>21</v>
      </c>
      <c r="E4">
        <v>6</v>
      </c>
      <c r="F4">
        <v>1</v>
      </c>
      <c r="G4" t="s">
        <v>9</v>
      </c>
      <c r="H4" s="2">
        <f t="shared" ref="H4:H52" si="0">IFERROR(D4/E4,0)</f>
        <v>3.5</v>
      </c>
      <c r="I4" s="1">
        <f t="shared" ref="I4:I52" si="1">IFERROR(F4/D4,0)</f>
        <v>4.7619047619047616E-2</v>
      </c>
    </row>
    <row r="5" spans="1:9">
      <c r="A5">
        <v>1003</v>
      </c>
      <c r="B5" t="s">
        <v>18</v>
      </c>
      <c r="C5" t="s">
        <v>19</v>
      </c>
      <c r="D5">
        <v>13</v>
      </c>
      <c r="E5">
        <v>5</v>
      </c>
      <c r="F5">
        <v>0</v>
      </c>
      <c r="G5" t="s">
        <v>9</v>
      </c>
      <c r="H5" s="2">
        <f t="shared" si="0"/>
        <v>2.6</v>
      </c>
      <c r="I5" s="1">
        <f t="shared" si="1"/>
        <v>0</v>
      </c>
    </row>
    <row r="6" spans="1:9">
      <c r="A6">
        <v>1004</v>
      </c>
      <c r="B6" t="s">
        <v>18</v>
      </c>
      <c r="C6" t="s">
        <v>20</v>
      </c>
      <c r="D6">
        <v>23</v>
      </c>
      <c r="E6">
        <v>12</v>
      </c>
      <c r="F6">
        <v>0</v>
      </c>
      <c r="G6" t="s">
        <v>9</v>
      </c>
      <c r="H6" s="2">
        <f t="shared" si="0"/>
        <v>1.9166666666666667</v>
      </c>
      <c r="I6" s="1">
        <f t="shared" si="1"/>
        <v>0</v>
      </c>
    </row>
    <row r="7" spans="1:9">
      <c r="A7">
        <v>1005</v>
      </c>
      <c r="B7" t="s">
        <v>10</v>
      </c>
      <c r="C7" t="s">
        <v>20</v>
      </c>
      <c r="D7">
        <v>10</v>
      </c>
      <c r="E7">
        <v>11</v>
      </c>
      <c r="F7">
        <v>1</v>
      </c>
      <c r="G7" t="s">
        <v>9</v>
      </c>
      <c r="H7" s="2">
        <f t="shared" si="0"/>
        <v>0.90909090909090906</v>
      </c>
      <c r="I7" s="1">
        <f t="shared" si="1"/>
        <v>0.1</v>
      </c>
    </row>
    <row r="8" spans="1:9">
      <c r="A8">
        <v>1006</v>
      </c>
      <c r="B8" t="s">
        <v>7</v>
      </c>
      <c r="C8" t="s">
        <v>21</v>
      </c>
      <c r="D8">
        <v>10</v>
      </c>
      <c r="E8">
        <v>8</v>
      </c>
      <c r="F8">
        <v>0</v>
      </c>
      <c r="G8" t="s">
        <v>9</v>
      </c>
      <c r="H8" s="2">
        <f t="shared" si="0"/>
        <v>1.25</v>
      </c>
      <c r="I8" s="1">
        <f t="shared" si="1"/>
        <v>0</v>
      </c>
    </row>
    <row r="9" spans="1:9">
      <c r="A9">
        <v>1007</v>
      </c>
      <c r="B9" t="s">
        <v>7</v>
      </c>
      <c r="C9" t="s">
        <v>8</v>
      </c>
      <c r="D9">
        <v>6</v>
      </c>
      <c r="E9">
        <v>12</v>
      </c>
      <c r="F9">
        <v>0</v>
      </c>
      <c r="G9" t="s">
        <v>12</v>
      </c>
      <c r="H9" s="2">
        <f t="shared" si="0"/>
        <v>0.5</v>
      </c>
      <c r="I9" s="1">
        <f t="shared" si="1"/>
        <v>0</v>
      </c>
    </row>
    <row r="10" spans="1:9">
      <c r="A10">
        <v>1008</v>
      </c>
      <c r="B10" t="s">
        <v>10</v>
      </c>
      <c r="C10" t="s">
        <v>14</v>
      </c>
      <c r="D10">
        <v>17</v>
      </c>
      <c r="E10">
        <v>12</v>
      </c>
      <c r="F10">
        <v>0</v>
      </c>
      <c r="G10" t="s">
        <v>12</v>
      </c>
      <c r="H10" s="2">
        <f t="shared" si="0"/>
        <v>1.4166666666666667</v>
      </c>
      <c r="I10" s="1">
        <f t="shared" si="1"/>
        <v>0</v>
      </c>
    </row>
    <row r="11" spans="1:9">
      <c r="A11">
        <v>1009</v>
      </c>
      <c r="B11" t="s">
        <v>13</v>
      </c>
      <c r="C11" t="s">
        <v>22</v>
      </c>
      <c r="D11">
        <v>25</v>
      </c>
      <c r="E11">
        <v>10</v>
      </c>
      <c r="F11">
        <v>0</v>
      </c>
      <c r="G11" t="s">
        <v>12</v>
      </c>
      <c r="H11" s="2">
        <f t="shared" si="0"/>
        <v>2.5</v>
      </c>
      <c r="I11" s="1">
        <f t="shared" si="1"/>
        <v>0</v>
      </c>
    </row>
    <row r="12" spans="1:9">
      <c r="A12">
        <v>1010</v>
      </c>
      <c r="B12" t="s">
        <v>18</v>
      </c>
      <c r="C12" t="s">
        <v>15</v>
      </c>
      <c r="D12">
        <v>7</v>
      </c>
      <c r="E12">
        <v>6</v>
      </c>
      <c r="F12">
        <v>0</v>
      </c>
      <c r="G12" t="s">
        <v>12</v>
      </c>
      <c r="H12" s="2">
        <f t="shared" si="0"/>
        <v>1.1666666666666667</v>
      </c>
      <c r="I12" s="1">
        <f t="shared" si="1"/>
        <v>0</v>
      </c>
    </row>
    <row r="13" spans="1:9">
      <c r="A13">
        <v>1011</v>
      </c>
      <c r="B13" t="s">
        <v>10</v>
      </c>
      <c r="C13" t="s">
        <v>19</v>
      </c>
      <c r="D13">
        <v>6</v>
      </c>
      <c r="E13">
        <v>3</v>
      </c>
      <c r="F13">
        <v>0</v>
      </c>
      <c r="G13" t="s">
        <v>9</v>
      </c>
      <c r="H13" s="2">
        <f t="shared" si="0"/>
        <v>2</v>
      </c>
      <c r="I13" s="1">
        <f t="shared" si="1"/>
        <v>0</v>
      </c>
    </row>
    <row r="14" spans="1:9">
      <c r="A14">
        <v>1012</v>
      </c>
      <c r="B14" t="s">
        <v>18</v>
      </c>
      <c r="C14" t="s">
        <v>8</v>
      </c>
      <c r="D14">
        <v>22</v>
      </c>
      <c r="E14">
        <v>3</v>
      </c>
      <c r="F14">
        <v>0</v>
      </c>
      <c r="G14" t="s">
        <v>12</v>
      </c>
      <c r="H14" s="2">
        <f t="shared" si="0"/>
        <v>7.333333333333333</v>
      </c>
      <c r="I14" s="1">
        <f t="shared" si="1"/>
        <v>0</v>
      </c>
    </row>
    <row r="15" spans="1:9">
      <c r="A15">
        <v>1013</v>
      </c>
      <c r="B15" t="s">
        <v>18</v>
      </c>
      <c r="C15" t="s">
        <v>20</v>
      </c>
      <c r="D15">
        <v>7</v>
      </c>
      <c r="E15">
        <v>7</v>
      </c>
      <c r="F15">
        <v>0</v>
      </c>
      <c r="G15" t="s">
        <v>12</v>
      </c>
      <c r="H15" s="2">
        <f t="shared" si="0"/>
        <v>1</v>
      </c>
      <c r="I15" s="1">
        <f t="shared" si="1"/>
        <v>0</v>
      </c>
    </row>
    <row r="16" spans="1:9">
      <c r="A16">
        <v>1014</v>
      </c>
      <c r="B16" t="s">
        <v>18</v>
      </c>
      <c r="C16" t="s">
        <v>22</v>
      </c>
      <c r="D16">
        <v>8</v>
      </c>
      <c r="E16">
        <v>8</v>
      </c>
      <c r="F16">
        <v>0</v>
      </c>
      <c r="G16" t="s">
        <v>12</v>
      </c>
      <c r="H16" s="2">
        <f t="shared" si="0"/>
        <v>1</v>
      </c>
      <c r="I16" s="1">
        <f t="shared" si="1"/>
        <v>0</v>
      </c>
    </row>
    <row r="17" spans="1:9">
      <c r="A17">
        <v>1015</v>
      </c>
      <c r="B17" t="s">
        <v>18</v>
      </c>
      <c r="C17" t="s">
        <v>22</v>
      </c>
      <c r="D17">
        <v>23</v>
      </c>
      <c r="E17">
        <v>12</v>
      </c>
      <c r="F17">
        <v>0</v>
      </c>
      <c r="G17" t="s">
        <v>12</v>
      </c>
      <c r="H17" s="2">
        <f t="shared" si="0"/>
        <v>1.9166666666666667</v>
      </c>
      <c r="I17" s="1">
        <f t="shared" si="1"/>
        <v>0</v>
      </c>
    </row>
    <row r="18" spans="1:9">
      <c r="A18">
        <v>1016</v>
      </c>
      <c r="B18" t="s">
        <v>13</v>
      </c>
      <c r="C18" t="s">
        <v>23</v>
      </c>
      <c r="D18">
        <v>12</v>
      </c>
      <c r="E18">
        <v>5</v>
      </c>
      <c r="F18">
        <v>0</v>
      </c>
      <c r="G18" t="s">
        <v>9</v>
      </c>
      <c r="H18" s="2">
        <f t="shared" si="0"/>
        <v>2.4</v>
      </c>
      <c r="I18" s="1">
        <f t="shared" si="1"/>
        <v>0</v>
      </c>
    </row>
    <row r="19" spans="1:9">
      <c r="A19">
        <v>1017</v>
      </c>
      <c r="B19" t="s">
        <v>18</v>
      </c>
      <c r="C19" t="s">
        <v>11</v>
      </c>
      <c r="D19">
        <v>18</v>
      </c>
      <c r="E19">
        <v>5</v>
      </c>
      <c r="F19">
        <v>0</v>
      </c>
      <c r="G19" t="s">
        <v>9</v>
      </c>
      <c r="H19" s="2">
        <f t="shared" si="0"/>
        <v>3.6</v>
      </c>
      <c r="I19" s="1">
        <f t="shared" si="1"/>
        <v>0</v>
      </c>
    </row>
    <row r="20" spans="1:9">
      <c r="A20">
        <v>1018</v>
      </c>
      <c r="B20" t="s">
        <v>13</v>
      </c>
      <c r="C20" t="s">
        <v>17</v>
      </c>
      <c r="D20">
        <v>11</v>
      </c>
      <c r="E20">
        <v>6</v>
      </c>
      <c r="F20">
        <v>0</v>
      </c>
      <c r="G20" t="s">
        <v>9</v>
      </c>
      <c r="H20" s="2">
        <f t="shared" si="0"/>
        <v>1.8333333333333333</v>
      </c>
      <c r="I20" s="1">
        <f t="shared" si="1"/>
        <v>0</v>
      </c>
    </row>
    <row r="21" spans="1:9">
      <c r="A21">
        <v>1019</v>
      </c>
      <c r="B21" t="s">
        <v>10</v>
      </c>
      <c r="C21" t="s">
        <v>21</v>
      </c>
      <c r="D21">
        <v>17</v>
      </c>
      <c r="E21">
        <v>7</v>
      </c>
      <c r="F21">
        <v>2</v>
      </c>
      <c r="G21" t="s">
        <v>9</v>
      </c>
      <c r="H21" s="2">
        <f t="shared" si="0"/>
        <v>2.4285714285714284</v>
      </c>
      <c r="I21" s="1">
        <f t="shared" si="1"/>
        <v>0.11764705882352941</v>
      </c>
    </row>
    <row r="22" spans="1:9">
      <c r="A22">
        <v>1020</v>
      </c>
      <c r="B22" t="s">
        <v>7</v>
      </c>
      <c r="C22" t="s">
        <v>16</v>
      </c>
      <c r="D22">
        <v>15</v>
      </c>
      <c r="E22">
        <v>3</v>
      </c>
      <c r="F22">
        <v>0</v>
      </c>
      <c r="G22" t="s">
        <v>9</v>
      </c>
      <c r="H22" s="2">
        <f t="shared" si="0"/>
        <v>5</v>
      </c>
      <c r="I22" s="1">
        <f t="shared" si="1"/>
        <v>0</v>
      </c>
    </row>
    <row r="23" spans="1:9">
      <c r="A23">
        <v>1021</v>
      </c>
      <c r="B23" t="s">
        <v>10</v>
      </c>
      <c r="C23" t="s">
        <v>24</v>
      </c>
      <c r="D23">
        <v>22</v>
      </c>
      <c r="E23">
        <v>7</v>
      </c>
      <c r="F23">
        <v>0</v>
      </c>
      <c r="G23" t="s">
        <v>12</v>
      </c>
      <c r="H23" s="2">
        <f t="shared" si="0"/>
        <v>3.1428571428571428</v>
      </c>
      <c r="I23" s="1">
        <f t="shared" si="1"/>
        <v>0</v>
      </c>
    </row>
    <row r="24" spans="1:9">
      <c r="A24">
        <v>1022</v>
      </c>
      <c r="B24" t="s">
        <v>18</v>
      </c>
      <c r="C24" t="s">
        <v>17</v>
      </c>
      <c r="D24">
        <v>7</v>
      </c>
      <c r="E24">
        <v>7</v>
      </c>
      <c r="F24">
        <v>0</v>
      </c>
      <c r="G24" t="s">
        <v>12</v>
      </c>
      <c r="H24" s="2">
        <f t="shared" si="0"/>
        <v>1</v>
      </c>
      <c r="I24" s="1">
        <f t="shared" si="1"/>
        <v>0</v>
      </c>
    </row>
    <row r="25" spans="1:9">
      <c r="A25">
        <v>1023</v>
      </c>
      <c r="B25" t="s">
        <v>18</v>
      </c>
      <c r="C25" t="s">
        <v>25</v>
      </c>
      <c r="D25">
        <v>6</v>
      </c>
      <c r="E25">
        <v>3</v>
      </c>
      <c r="F25">
        <v>0</v>
      </c>
      <c r="G25" t="s">
        <v>9</v>
      </c>
      <c r="H25" s="2">
        <f t="shared" si="0"/>
        <v>2</v>
      </c>
      <c r="I25" s="1">
        <f t="shared" si="1"/>
        <v>0</v>
      </c>
    </row>
    <row r="26" spans="1:9">
      <c r="A26">
        <v>1024</v>
      </c>
      <c r="B26" t="s">
        <v>18</v>
      </c>
      <c r="C26" t="s">
        <v>17</v>
      </c>
      <c r="D26">
        <v>16</v>
      </c>
      <c r="E26">
        <v>12</v>
      </c>
      <c r="F26">
        <v>0</v>
      </c>
      <c r="G26" t="s">
        <v>9</v>
      </c>
      <c r="H26" s="2">
        <f t="shared" si="0"/>
        <v>1.3333333333333333</v>
      </c>
      <c r="I26" s="1">
        <f t="shared" si="1"/>
        <v>0</v>
      </c>
    </row>
    <row r="27" spans="1:9">
      <c r="A27">
        <v>1025</v>
      </c>
      <c r="B27" t="s">
        <v>7</v>
      </c>
      <c r="C27" t="s">
        <v>21</v>
      </c>
      <c r="D27">
        <v>20</v>
      </c>
      <c r="E27">
        <v>9</v>
      </c>
      <c r="F27">
        <v>0</v>
      </c>
      <c r="G27" t="s">
        <v>9</v>
      </c>
      <c r="H27" s="2">
        <f t="shared" si="0"/>
        <v>2.2222222222222223</v>
      </c>
      <c r="I27" s="1">
        <f t="shared" si="1"/>
        <v>0</v>
      </c>
    </row>
    <row r="28" spans="1:9">
      <c r="A28">
        <v>1026</v>
      </c>
      <c r="B28" t="s">
        <v>7</v>
      </c>
      <c r="C28" t="s">
        <v>24</v>
      </c>
      <c r="D28">
        <v>6</v>
      </c>
      <c r="E28">
        <v>3</v>
      </c>
      <c r="F28">
        <v>0</v>
      </c>
      <c r="G28" t="s">
        <v>12</v>
      </c>
      <c r="H28" s="2">
        <f t="shared" si="0"/>
        <v>2</v>
      </c>
      <c r="I28" s="1">
        <f t="shared" si="1"/>
        <v>0</v>
      </c>
    </row>
    <row r="29" spans="1:9">
      <c r="A29">
        <v>1027</v>
      </c>
      <c r="B29" t="s">
        <v>18</v>
      </c>
      <c r="C29" t="s">
        <v>21</v>
      </c>
      <c r="D29">
        <v>14</v>
      </c>
      <c r="E29">
        <v>7</v>
      </c>
      <c r="F29">
        <v>1</v>
      </c>
      <c r="G29" t="s">
        <v>9</v>
      </c>
      <c r="H29" s="2">
        <f t="shared" si="0"/>
        <v>2</v>
      </c>
      <c r="I29" s="1">
        <f t="shared" si="1"/>
        <v>7.1428571428571425E-2</v>
      </c>
    </row>
    <row r="30" spans="1:9">
      <c r="A30">
        <v>1028</v>
      </c>
      <c r="B30" t="s">
        <v>10</v>
      </c>
      <c r="C30" t="s">
        <v>16</v>
      </c>
      <c r="D30">
        <v>18</v>
      </c>
      <c r="E30">
        <v>6</v>
      </c>
      <c r="F30">
        <v>0</v>
      </c>
      <c r="G30" t="s">
        <v>12</v>
      </c>
      <c r="H30" s="2">
        <f t="shared" si="0"/>
        <v>3</v>
      </c>
      <c r="I30" s="1">
        <f t="shared" si="1"/>
        <v>0</v>
      </c>
    </row>
    <row r="31" spans="1:9">
      <c r="A31">
        <v>1029</v>
      </c>
      <c r="B31" t="s">
        <v>10</v>
      </c>
      <c r="C31" t="s">
        <v>17</v>
      </c>
      <c r="D31">
        <v>12</v>
      </c>
      <c r="E31">
        <v>10</v>
      </c>
      <c r="F31">
        <v>0</v>
      </c>
      <c r="G31" t="s">
        <v>9</v>
      </c>
      <c r="H31" s="2">
        <f t="shared" si="0"/>
        <v>1.2</v>
      </c>
      <c r="I31" s="1">
        <f t="shared" si="1"/>
        <v>0</v>
      </c>
    </row>
    <row r="32" spans="1:9">
      <c r="A32">
        <v>1030</v>
      </c>
      <c r="B32" t="s">
        <v>13</v>
      </c>
      <c r="C32" t="s">
        <v>25</v>
      </c>
      <c r="D32">
        <v>20</v>
      </c>
      <c r="E32">
        <v>8</v>
      </c>
      <c r="F32">
        <v>0</v>
      </c>
      <c r="G32" t="s">
        <v>12</v>
      </c>
      <c r="H32" s="2">
        <f t="shared" si="0"/>
        <v>2.5</v>
      </c>
      <c r="I32" s="1">
        <f t="shared" si="1"/>
        <v>0</v>
      </c>
    </row>
    <row r="33" spans="1:9">
      <c r="A33">
        <v>1031</v>
      </c>
      <c r="B33" t="s">
        <v>10</v>
      </c>
      <c r="C33" t="s">
        <v>17</v>
      </c>
      <c r="D33">
        <v>9</v>
      </c>
      <c r="E33">
        <v>12</v>
      </c>
      <c r="F33">
        <v>0</v>
      </c>
      <c r="G33" t="s">
        <v>12</v>
      </c>
      <c r="H33" s="2">
        <f t="shared" si="0"/>
        <v>0.75</v>
      </c>
      <c r="I33" s="1">
        <f t="shared" si="1"/>
        <v>0</v>
      </c>
    </row>
    <row r="34" spans="1:9">
      <c r="A34">
        <v>1032</v>
      </c>
      <c r="B34" t="s">
        <v>10</v>
      </c>
      <c r="C34" t="s">
        <v>11</v>
      </c>
      <c r="D34">
        <v>25</v>
      </c>
      <c r="E34">
        <v>6</v>
      </c>
      <c r="F34">
        <v>1</v>
      </c>
      <c r="G34" t="s">
        <v>9</v>
      </c>
      <c r="H34" s="2">
        <f t="shared" si="0"/>
        <v>4.166666666666667</v>
      </c>
      <c r="I34" s="1">
        <f t="shared" si="1"/>
        <v>0.04</v>
      </c>
    </row>
    <row r="35" spans="1:9">
      <c r="A35">
        <v>1033</v>
      </c>
      <c r="B35" t="s">
        <v>10</v>
      </c>
      <c r="C35" t="s">
        <v>15</v>
      </c>
      <c r="D35">
        <v>20</v>
      </c>
      <c r="E35">
        <v>4</v>
      </c>
      <c r="F35">
        <v>1</v>
      </c>
      <c r="G35" t="s">
        <v>9</v>
      </c>
      <c r="H35" s="2">
        <f t="shared" si="0"/>
        <v>5</v>
      </c>
      <c r="I35" s="1">
        <f t="shared" si="1"/>
        <v>0.05</v>
      </c>
    </row>
    <row r="36" spans="1:9">
      <c r="A36">
        <v>1034</v>
      </c>
      <c r="B36" t="s">
        <v>7</v>
      </c>
      <c r="C36" t="s">
        <v>14</v>
      </c>
      <c r="D36">
        <v>21</v>
      </c>
      <c r="E36">
        <v>12</v>
      </c>
      <c r="F36">
        <v>0</v>
      </c>
      <c r="G36" t="s">
        <v>9</v>
      </c>
      <c r="H36" s="2">
        <f t="shared" si="0"/>
        <v>1.75</v>
      </c>
      <c r="I36" s="1">
        <f t="shared" si="1"/>
        <v>0</v>
      </c>
    </row>
    <row r="37" spans="1:9">
      <c r="A37">
        <v>1035</v>
      </c>
      <c r="B37" t="s">
        <v>18</v>
      </c>
      <c r="C37" t="s">
        <v>21</v>
      </c>
      <c r="D37">
        <v>14</v>
      </c>
      <c r="E37">
        <v>9</v>
      </c>
      <c r="F37">
        <v>2</v>
      </c>
      <c r="G37" t="s">
        <v>9</v>
      </c>
      <c r="H37" s="2">
        <f t="shared" si="0"/>
        <v>1.5555555555555556</v>
      </c>
      <c r="I37" s="1">
        <f t="shared" si="1"/>
        <v>0.14285714285714285</v>
      </c>
    </row>
    <row r="38" spans="1:9">
      <c r="A38">
        <v>1036</v>
      </c>
      <c r="B38" t="s">
        <v>13</v>
      </c>
      <c r="C38" t="s">
        <v>23</v>
      </c>
      <c r="D38">
        <v>24</v>
      </c>
      <c r="E38">
        <v>9</v>
      </c>
      <c r="F38">
        <v>1</v>
      </c>
      <c r="G38" t="s">
        <v>9</v>
      </c>
      <c r="H38" s="2">
        <f t="shared" si="0"/>
        <v>2.6666666666666665</v>
      </c>
      <c r="I38" s="1">
        <f t="shared" si="1"/>
        <v>4.1666666666666664E-2</v>
      </c>
    </row>
    <row r="39" spans="1:9">
      <c r="A39">
        <v>1037</v>
      </c>
      <c r="B39" t="s">
        <v>10</v>
      </c>
      <c r="C39" t="s">
        <v>19</v>
      </c>
      <c r="D39">
        <v>21</v>
      </c>
      <c r="E39">
        <v>10</v>
      </c>
      <c r="F39">
        <v>0</v>
      </c>
      <c r="G39" t="s">
        <v>12</v>
      </c>
      <c r="H39" s="2">
        <f t="shared" si="0"/>
        <v>2.1</v>
      </c>
      <c r="I39" s="1">
        <f t="shared" si="1"/>
        <v>0</v>
      </c>
    </row>
    <row r="40" spans="1:9">
      <c r="A40">
        <v>1038</v>
      </c>
      <c r="B40" t="s">
        <v>7</v>
      </c>
      <c r="C40" t="s">
        <v>11</v>
      </c>
      <c r="D40">
        <v>12</v>
      </c>
      <c r="E40">
        <v>6</v>
      </c>
      <c r="F40">
        <v>0</v>
      </c>
      <c r="G40" t="s">
        <v>12</v>
      </c>
      <c r="H40" s="2">
        <f t="shared" si="0"/>
        <v>2</v>
      </c>
      <c r="I40" s="1">
        <f t="shared" si="1"/>
        <v>0</v>
      </c>
    </row>
    <row r="41" spans="1:9">
      <c r="A41">
        <v>1039</v>
      </c>
      <c r="B41" t="s">
        <v>7</v>
      </c>
      <c r="C41" t="s">
        <v>23</v>
      </c>
      <c r="D41">
        <v>8</v>
      </c>
      <c r="E41">
        <v>3</v>
      </c>
      <c r="F41">
        <v>0</v>
      </c>
      <c r="G41" t="s">
        <v>9</v>
      </c>
      <c r="H41" s="2">
        <f t="shared" si="0"/>
        <v>2.6666666666666665</v>
      </c>
      <c r="I41" s="1">
        <f t="shared" si="1"/>
        <v>0</v>
      </c>
    </row>
    <row r="42" spans="1:9">
      <c r="A42">
        <v>1040</v>
      </c>
      <c r="B42" t="s">
        <v>18</v>
      </c>
      <c r="C42" t="s">
        <v>8</v>
      </c>
      <c r="D42">
        <v>24</v>
      </c>
      <c r="E42">
        <v>10</v>
      </c>
      <c r="F42">
        <v>0</v>
      </c>
      <c r="G42" t="s">
        <v>12</v>
      </c>
      <c r="H42" s="2">
        <f t="shared" si="0"/>
        <v>2.4</v>
      </c>
      <c r="I42" s="1">
        <f t="shared" si="1"/>
        <v>0</v>
      </c>
    </row>
    <row r="43" spans="1:9">
      <c r="A43">
        <v>1041</v>
      </c>
      <c r="B43" t="s">
        <v>10</v>
      </c>
      <c r="C43" t="s">
        <v>14</v>
      </c>
      <c r="D43">
        <v>16</v>
      </c>
      <c r="E43">
        <v>8</v>
      </c>
      <c r="F43">
        <v>2</v>
      </c>
      <c r="G43" t="s">
        <v>9</v>
      </c>
      <c r="H43" s="2">
        <f t="shared" si="0"/>
        <v>2</v>
      </c>
      <c r="I43" s="1">
        <f t="shared" si="1"/>
        <v>0.125</v>
      </c>
    </row>
    <row r="44" spans="1:9">
      <c r="A44">
        <v>1042</v>
      </c>
      <c r="B44" t="s">
        <v>18</v>
      </c>
      <c r="C44" t="s">
        <v>23</v>
      </c>
      <c r="D44">
        <v>16</v>
      </c>
      <c r="E44">
        <v>5</v>
      </c>
      <c r="F44">
        <v>0</v>
      </c>
      <c r="G44" t="s">
        <v>12</v>
      </c>
      <c r="H44" s="2">
        <f t="shared" si="0"/>
        <v>3.2</v>
      </c>
      <c r="I44" s="1">
        <f t="shared" si="1"/>
        <v>0</v>
      </c>
    </row>
    <row r="45" spans="1:9">
      <c r="A45">
        <v>1043</v>
      </c>
      <c r="B45" t="s">
        <v>13</v>
      </c>
      <c r="C45" t="s">
        <v>11</v>
      </c>
      <c r="D45">
        <v>7</v>
      </c>
      <c r="E45">
        <v>7</v>
      </c>
      <c r="F45">
        <v>1</v>
      </c>
      <c r="G45" t="s">
        <v>9</v>
      </c>
      <c r="H45" s="2">
        <f t="shared" si="0"/>
        <v>1</v>
      </c>
      <c r="I45" s="1">
        <f t="shared" si="1"/>
        <v>0.14285714285714285</v>
      </c>
    </row>
    <row r="46" spans="1:9">
      <c r="A46">
        <v>1044</v>
      </c>
      <c r="B46" t="s">
        <v>7</v>
      </c>
      <c r="C46" t="s">
        <v>14</v>
      </c>
      <c r="D46">
        <v>10</v>
      </c>
      <c r="E46">
        <v>7</v>
      </c>
      <c r="F46">
        <v>2</v>
      </c>
      <c r="G46" t="s">
        <v>12</v>
      </c>
      <c r="H46" s="2">
        <f t="shared" si="0"/>
        <v>1.4285714285714286</v>
      </c>
      <c r="I46" s="1">
        <f t="shared" si="1"/>
        <v>0.2</v>
      </c>
    </row>
    <row r="47" spans="1:9">
      <c r="A47">
        <v>1045</v>
      </c>
      <c r="B47" t="s">
        <v>10</v>
      </c>
      <c r="C47" t="s">
        <v>20</v>
      </c>
      <c r="D47">
        <v>6</v>
      </c>
      <c r="E47">
        <v>5</v>
      </c>
      <c r="F47">
        <v>0</v>
      </c>
      <c r="G47" t="s">
        <v>12</v>
      </c>
      <c r="H47" s="2">
        <f t="shared" si="0"/>
        <v>1.2</v>
      </c>
      <c r="I47" s="1">
        <f t="shared" si="1"/>
        <v>0</v>
      </c>
    </row>
    <row r="48" spans="1:9">
      <c r="A48">
        <v>1046</v>
      </c>
      <c r="B48" t="s">
        <v>13</v>
      </c>
      <c r="C48" t="s">
        <v>8</v>
      </c>
      <c r="D48">
        <v>13</v>
      </c>
      <c r="E48">
        <v>3</v>
      </c>
      <c r="F48">
        <v>2</v>
      </c>
      <c r="G48" t="s">
        <v>9</v>
      </c>
      <c r="H48" s="2">
        <f t="shared" si="0"/>
        <v>4.333333333333333</v>
      </c>
      <c r="I48" s="1">
        <f t="shared" si="1"/>
        <v>0.15384615384615385</v>
      </c>
    </row>
    <row r="49" spans="1:9">
      <c r="A49">
        <v>1047</v>
      </c>
      <c r="B49" t="s">
        <v>13</v>
      </c>
      <c r="C49" t="s">
        <v>17</v>
      </c>
      <c r="D49">
        <v>10</v>
      </c>
      <c r="E49">
        <v>6</v>
      </c>
      <c r="F49">
        <v>0</v>
      </c>
      <c r="G49" t="s">
        <v>12</v>
      </c>
      <c r="H49" s="2">
        <f t="shared" si="0"/>
        <v>1.6666666666666667</v>
      </c>
      <c r="I49" s="1">
        <f t="shared" si="1"/>
        <v>0</v>
      </c>
    </row>
    <row r="50" spans="1:9">
      <c r="A50">
        <v>1048</v>
      </c>
      <c r="B50" t="s">
        <v>10</v>
      </c>
      <c r="C50" t="s">
        <v>14</v>
      </c>
      <c r="D50">
        <v>6</v>
      </c>
      <c r="E50">
        <v>4</v>
      </c>
      <c r="F50">
        <v>0</v>
      </c>
      <c r="G50" t="s">
        <v>12</v>
      </c>
      <c r="H50" s="2">
        <f t="shared" si="0"/>
        <v>1.5</v>
      </c>
      <c r="I50" s="1">
        <f t="shared" si="1"/>
        <v>0</v>
      </c>
    </row>
    <row r="51" spans="1:9">
      <c r="A51">
        <v>1049</v>
      </c>
      <c r="B51" t="s">
        <v>10</v>
      </c>
      <c r="C51" t="s">
        <v>21</v>
      </c>
      <c r="D51">
        <v>14</v>
      </c>
      <c r="E51">
        <v>6</v>
      </c>
      <c r="F51">
        <v>1</v>
      </c>
      <c r="G51" t="s">
        <v>9</v>
      </c>
      <c r="H51" s="2">
        <f t="shared" si="0"/>
        <v>2.3333333333333335</v>
      </c>
      <c r="I51" s="1">
        <f t="shared" si="1"/>
        <v>7.1428571428571425E-2</v>
      </c>
    </row>
    <row r="52" spans="1:9">
      <c r="A52">
        <v>1050</v>
      </c>
      <c r="B52" t="s">
        <v>10</v>
      </c>
      <c r="C52" t="s">
        <v>16</v>
      </c>
      <c r="D52">
        <v>8</v>
      </c>
      <c r="E52">
        <v>10</v>
      </c>
      <c r="F52">
        <v>0</v>
      </c>
      <c r="G52" t="s">
        <v>12</v>
      </c>
      <c r="H52" s="2">
        <f t="shared" si="0"/>
        <v>0.8</v>
      </c>
      <c r="I52" s="1">
        <f t="shared" si="1"/>
        <v>0</v>
      </c>
    </row>
  </sheetData>
  <phoneticPr fontId="2" type="noConversion"/>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2C075C-5715-A14C-9E09-13ADDFE29725}">
  <sheetPr codeName="Sheet3"/>
  <dimension ref="A1:K32"/>
  <sheetViews>
    <sheetView tabSelected="1" workbookViewId="0">
      <selection activeCell="P47" sqref="P47"/>
    </sheetView>
  </sheetViews>
  <sheetFormatPr baseColWidth="10" defaultRowHeight="16"/>
  <cols>
    <col min="1" max="1" width="10.5" bestFit="1" customWidth="1"/>
    <col min="2" max="2" width="13.6640625" bestFit="1" customWidth="1"/>
    <col min="3" max="3" width="15.83203125" bestFit="1" customWidth="1"/>
    <col min="4" max="4" width="19" bestFit="1" customWidth="1"/>
    <col min="5" max="5" width="11.5" bestFit="1" customWidth="1"/>
    <col min="7" max="7" width="12.33203125" bestFit="1" customWidth="1"/>
    <col min="8" max="8" width="12.83203125" style="2" bestFit="1" customWidth="1"/>
    <col min="9" max="9" width="12.33203125" style="1" bestFit="1" customWidth="1"/>
    <col min="10" max="10" width="16" bestFit="1" customWidth="1"/>
    <col min="12" max="12" width="10.5" bestFit="1" customWidth="1"/>
    <col min="13" max="13" width="19" bestFit="1" customWidth="1"/>
    <col min="14" max="14" width="15.83203125" bestFit="1" customWidth="1"/>
  </cols>
  <sheetData>
    <row r="1" spans="1:11">
      <c r="B1" s="8" t="s">
        <v>31</v>
      </c>
    </row>
    <row r="2" spans="1:11">
      <c r="A2" s="6" t="s">
        <v>32</v>
      </c>
      <c r="B2">
        <f>COUNTA(Clean_Data!A:A)-1</f>
        <v>50</v>
      </c>
      <c r="D2" s="6" t="s">
        <v>29</v>
      </c>
      <c r="E2" s="2">
        <f>AVERAGE(Clean_Data!H:H)</f>
        <v>2.2904040404040411</v>
      </c>
      <c r="G2" t="s">
        <v>30</v>
      </c>
      <c r="H2" s="7">
        <f>AVERAGE(Clean_Data!I:I)</f>
        <v>2.6087007110536516E-2</v>
      </c>
      <c r="J2" t="s">
        <v>33</v>
      </c>
      <c r="K2">
        <f>AVERAGE(Clean_Data!E:E)</f>
        <v>7.16</v>
      </c>
    </row>
    <row r="3" spans="1:11">
      <c r="A3" s="3" t="s">
        <v>6</v>
      </c>
      <c r="B3" t="s">
        <v>29</v>
      </c>
    </row>
    <row r="4" spans="1:11">
      <c r="A4" s="4" t="s">
        <v>9</v>
      </c>
      <c r="B4" s="2">
        <v>2.5555101277323495</v>
      </c>
    </row>
    <row r="5" spans="1:11">
      <c r="A5" s="4" t="s">
        <v>12</v>
      </c>
      <c r="B5" s="2">
        <v>1.9791925465838509</v>
      </c>
    </row>
    <row r="6" spans="1:11" hidden="1">
      <c r="A6" s="4" t="s">
        <v>28</v>
      </c>
      <c r="B6" s="2">
        <v>2.2904040404040402</v>
      </c>
    </row>
    <row r="9" spans="1:11" hidden="1"/>
    <row r="10" spans="1:11">
      <c r="A10" s="3" t="s">
        <v>6</v>
      </c>
      <c r="B10" t="s">
        <v>30</v>
      </c>
    </row>
    <row r="11" spans="1:11">
      <c r="A11" s="4" t="s">
        <v>9</v>
      </c>
      <c r="B11" s="5">
        <v>4.0901865019512082E-2</v>
      </c>
    </row>
    <row r="12" spans="1:11">
      <c r="A12" s="4" t="s">
        <v>12</v>
      </c>
      <c r="B12" s="5">
        <v>8.6956521739130436E-3</v>
      </c>
    </row>
    <row r="13" spans="1:11" hidden="1">
      <c r="A13" s="4" t="s">
        <v>28</v>
      </c>
      <c r="B13" s="5">
        <v>2.6087007110536523E-2</v>
      </c>
    </row>
    <row r="17" spans="1:2" hidden="1"/>
    <row r="19" spans="1:2">
      <c r="A19" s="3" t="s">
        <v>1</v>
      </c>
      <c r="B19" t="s">
        <v>29</v>
      </c>
    </row>
    <row r="20" spans="1:2">
      <c r="A20" s="4" t="s">
        <v>7</v>
      </c>
      <c r="B20" s="2">
        <v>2.0908289241622575</v>
      </c>
    </row>
    <row r="21" spans="1:2">
      <c r="A21" s="4" t="s">
        <v>10</v>
      </c>
      <c r="B21" s="2">
        <v>2.121699134199134</v>
      </c>
    </row>
    <row r="22" spans="1:2">
      <c r="A22" s="4" t="s">
        <v>13</v>
      </c>
      <c r="B22" s="2">
        <v>2.7733333333333334</v>
      </c>
    </row>
    <row r="23" spans="1:2">
      <c r="A23" s="4" t="s">
        <v>18</v>
      </c>
      <c r="B23" s="2">
        <v>2.2681481481481485</v>
      </c>
    </row>
    <row r="24" spans="1:2" hidden="1">
      <c r="A24" s="4" t="s">
        <v>28</v>
      </c>
      <c r="B24" s="2">
        <v>2.2904040404040407</v>
      </c>
    </row>
    <row r="27" spans="1:2">
      <c r="A27" s="3" t="s">
        <v>1</v>
      </c>
      <c r="B27" t="s">
        <v>34</v>
      </c>
    </row>
    <row r="28" spans="1:2">
      <c r="A28" s="4" t="s">
        <v>7</v>
      </c>
      <c r="B28" s="5">
        <v>2.2222222222222223E-2</v>
      </c>
    </row>
    <row r="29" spans="1:2">
      <c r="A29" s="4" t="s">
        <v>10</v>
      </c>
      <c r="B29" s="5">
        <v>3.1504726890756299E-2</v>
      </c>
    </row>
    <row r="30" spans="1:2">
      <c r="A30" s="4" t="s">
        <v>13</v>
      </c>
      <c r="B30" s="5">
        <v>3.8598901098901094E-2</v>
      </c>
    </row>
    <row r="31" spans="1:2">
      <c r="A31" s="4" t="s">
        <v>18</v>
      </c>
      <c r="B31" s="5">
        <v>1.4285714285714285E-2</v>
      </c>
    </row>
    <row r="32" spans="1:2" hidden="1">
      <c r="A32" s="4" t="s">
        <v>28</v>
      </c>
      <c r="B32" s="5">
        <v>2.6087007110536516E-2</v>
      </c>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5121" r:id="rId7" name="Button 1">
              <controlPr defaultSize="0" print="0" autoFill="0" autoPict="0" macro="[0]!Go_To_Control_Panel">
                <anchor moveWithCells="1" sizeWithCells="1">
                  <from>
                    <xdr:col>16</xdr:col>
                    <xdr:colOff>190500</xdr:colOff>
                    <xdr:row>1</xdr:row>
                    <xdr:rowOff>139700</xdr:rowOff>
                  </from>
                  <to>
                    <xdr:col>18</xdr:col>
                    <xdr:colOff>63500</xdr:colOff>
                    <xdr:row>3</xdr:row>
                    <xdr:rowOff>114300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EAC91-1840-084B-9121-CF89CB2964B6}">
  <sheetPr codeName="Sheet4"/>
  <dimension ref="A1:A2"/>
  <sheetViews>
    <sheetView workbookViewId="0">
      <selection activeCell="M30" sqref="M30"/>
    </sheetView>
  </sheetViews>
  <sheetFormatPr baseColWidth="10" defaultRowHeight="16"/>
  <cols>
    <col min="1" max="1" width="57.33203125" bestFit="1" customWidth="1"/>
  </cols>
  <sheetData>
    <row r="1" spans="1:1">
      <c r="A1" t="s">
        <v>35</v>
      </c>
    </row>
    <row r="2" spans="1:1">
      <c r="A2" s="6" t="s">
        <v>36</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101" r:id="rId3" name="Button 5">
              <controlPr defaultSize="0" print="0" autoFill="0" autoPict="0" macro="[0]!Refresh_Dashboard">
                <anchor moveWithCells="1" sizeWithCells="1">
                  <from>
                    <xdr:col>1</xdr:col>
                    <xdr:colOff>292100</xdr:colOff>
                    <xdr:row>27</xdr:row>
                    <xdr:rowOff>101600</xdr:rowOff>
                  </from>
                  <to>
                    <xdr:col>3</xdr:col>
                    <xdr:colOff>165100</xdr:colOff>
                    <xdr:row>29</xdr:row>
                    <xdr:rowOff>76200</xdr:rowOff>
                  </to>
                </anchor>
              </controlPr>
            </control>
          </mc:Choice>
        </mc:AlternateContent>
      </controls>
    </mc:Choice>
  </mc:AlternateContent>
  <extLst>
    <ext xmlns:x14="http://schemas.microsoft.com/office/spreadsheetml/2009/9/main" uri="{A8765BA9-456A-4dab-B4F3-ACF838C121DE}">
      <x14:slicerList>
        <x14:slicer r:id="rId4"/>
      </x14:slicerList>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Raw_Data</vt:lpstr>
      <vt:lpstr>Clean_Data</vt:lpstr>
      <vt:lpstr>Dashboard</vt:lpstr>
      <vt:lpstr>Control_Panel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Alfred Quenum</dc:creator>
  <cp:lastModifiedBy>Alfred Quenum</cp:lastModifiedBy>
  <dcterms:created xsi:type="dcterms:W3CDTF">2026-03-10T18:28:34Z</dcterms:created>
  <dcterms:modified xsi:type="dcterms:W3CDTF">2026-03-11T03:31:43Z</dcterms:modified>
</cp:coreProperties>
</file>